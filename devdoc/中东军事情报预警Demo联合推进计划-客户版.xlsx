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795f497e1749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推进计划" sheetId="1" r:id="R28e6a808a8aa4c07"/>
    <x:sheet xmlns:r="http://schemas.openxmlformats.org/officeDocument/2006/relationships" name="情报简报样例" sheetId="2" r:id="Rfe78a45aa2aa42da"/>
    <x:sheet xmlns:r="http://schemas.openxmlformats.org/officeDocument/2006/relationships" name="证据核验" sheetId="3" r:id="R4c5e301aa0de4d1a"/>
    <x:sheet xmlns:r="http://schemas.openxmlformats.org/officeDocument/2006/relationships" name="联合确认与边界" sheetId="4" r:id="R0bd0c01cabfc4e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B6573"/>
      <x:name val="Carlito"/>
    </x:font>
    <x:font>
      <x:b/>
      <x:sz val="10"/>
      <x:color rgb="FF1F4E78"/>
      <x:name val="Carlito"/>
    </x:font>
    <x:font>
      <x:b/>
      <x:sz val="15"/>
      <x:color rgb="FF17365D"/>
      <x:name val="Carlito"/>
    </x:font>
    <x:font>
      <x:b/>
      <x:sz val="12"/>
      <x:color rgb="FFFFFFFF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0"/>
      <x:color rgb="FF2F6B4F"/>
      <x:name val="Carlito"/>
    </x:font>
    <x:font>
      <x:b/>
      <x:sz val="10"/>
      <x:color rgb="FFB36B00"/>
      <x:name val="Carlito"/>
    </x:font>
    <x:font>
      <x:b/>
      <x:sz val="10"/>
      <x:color rgb="FF17365D"/>
      <x:name val="Carlito"/>
    </x:font>
    <x:font>
      <x:sz val="11"/>
      <x:color rgb="FF1F2937"/>
      <x:name val="Carlito"/>
    </x:font>
    <x:font>
      <x:i/>
      <x:sz val="9"/>
      <x:color rgb="FF5B6573"/>
      <x:name val="Carlito"/>
    </x:font>
    <x:font>
      <x:sz val="10"/>
      <x:color rgb="FFB36B00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3F5F7"/>
      </x:patternFill>
    </x:fill>
    <x:fill>
      <x:patternFill patternType="solid">
        <x:fgColor rgb="FFFCE4D6"/>
      </x:patternFill>
    </x:fill>
  </x:fills>
  <x:borders count="4">
    <x:border/>
    <x:border>
      <x:left style="thin">
        <x:color rgb="FFB7C3D0"/>
      </x:left>
      <x:top style="thin">
        <x:color rgb="FFB7C3D0"/>
      </x:top>
      <x:bottom style="thin">
        <x:color rgb="FFB7C3D0"/>
      </x:bottom>
    </x:border>
    <x:border>
      <x:right style="thin">
        <x:color rgb="FFB7C3D0"/>
      </x:right>
      <x:top style="thin">
        <x:color rgb="FFB7C3D0"/>
      </x:top>
      <x:bottom style="thin">
        <x:color rgb="FFB7C3D0"/>
      </x:bottom>
    </x:border>
    <x:border>
      <x:left style="thin">
        <x:color rgb="FFB7C3D0"/>
      </x:left>
      <x:right style="thin">
        <x:color rgb="FFB7C3D0"/>
      </x:right>
      <x:top style="thin">
        <x:color rgb="FFB7C3D0"/>
      </x:top>
      <x:bottom style="thin">
        <x:color rgb="FFB7C3D0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/>
    <x:xf numFmtId="0" fontId="6" fillId="6" borderId="3" xfId="0" applyNumberFormat="1" applyFont="1" applyFill="1" applyBorder="1"/>
    <x:xf numFmtId="0" fontId="6" fillId="6" borderId="3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horizont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/>
    <x:xf numFmtId="0" fontId="7" fillId="5" borderId="3" xfId="0" applyNumberFormat="1" applyFont="1" applyFill="1" applyBorder="1"/>
    <x:xf numFmtId="0" fontId="7" fillId="5" borderId="3" xfId="0" applyNumberFormat="1" applyFont="1" applyFill="1" applyBorder="1" applyAlignment="1">
      <x:alignment wrapText="1"/>
    </x:xf>
    <x:xf numFmtId="0" fontId="7" fillId="5" borderId="3" xfId="0" applyNumberFormat="1" applyFont="1" applyFill="1" applyBorder="1" applyAlignment="1">
      <x:alignment vertical="top" wrapText="1"/>
    </x:xf>
    <x:xf numFmtId="0" fontId="7" fillId="7" borderId="3" xfId="0" applyNumberFormat="1" applyFont="1" applyFill="1" applyBorder="1" applyAlignment="1">
      <x:alignment vertical="top" wrapText="1"/>
    </x:xf>
    <x:xf numFmtId="0" fontId="8" fillId="7" borderId="3" xfId="0" applyNumberFormat="1" applyFont="1" applyFill="1" applyBorder="1" applyAlignment="1">
      <x:alignment vertical="top" wrapText="1"/>
    </x:xf>
    <x:xf numFmtId="0" fontId="8" fillId="7" borderId="3" xfId="0" applyNumberFormat="1" applyFont="1" applyFill="1" applyBorder="1" applyAlignment="1">
      <x:alignment horizontal="center" vertical="top" wrapText="1"/>
    </x:xf>
    <x:xf numFmtId="0" fontId="8" fillId="7" borderId="3" xfId="0" applyNumberFormat="1" applyFont="1" applyFill="1" applyBorder="1" applyAlignment="1">
      <x:alignment horizontal="center" vertical="center" wrapText="1"/>
    </x:xf>
    <x:xf numFmtId="0" fontId="7" fillId="8" borderId="3" xfId="0" applyNumberFormat="1" applyFont="1" applyFill="1" applyBorder="1" applyAlignment="1">
      <x:alignment vertical="top" wrapText="1"/>
    </x:xf>
    <x:xf numFmtId="0" fontId="9" fillId="8" borderId="3" xfId="0" applyNumberFormat="1" applyFont="1" applyFill="1" applyBorder="1" applyAlignment="1">
      <x:alignment vertical="top" wrapText="1"/>
    </x:xf>
    <x:xf numFmtId="0" fontId="9" fillId="8" borderId="3" xfId="0" applyNumberFormat="1" applyFont="1" applyFill="1" applyBorder="1" applyAlignment="1">
      <x:alignment horizontal="center" vertical="top" wrapText="1"/>
    </x:xf>
    <x:xf numFmtId="0" fontId="9" fillId="8" borderId="3" xfId="0" applyNumberFormat="1" applyFont="1" applyFill="1" applyBorder="1" applyAlignment="1">
      <x:alignment horizontal="center" vertical="center" wrapText="1"/>
    </x:xf>
    <x:xf numFmtId="0" fontId="7" fillId="3" borderId="3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horizontal="center" vertical="top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7" fillId="4" borderId="3" xfId="0" applyNumberFormat="1" applyFont="1" applyFill="1" applyBorder="1" applyAlignment="1">
      <x:alignment vertical="top" wrapText="1"/>
    </x:xf>
    <x:xf numFmtId="0" fontId="10" fillId="4" borderId="3" xfId="0" applyNumberFormat="1" applyFont="1" applyFill="1" applyBorder="1" applyAlignment="1">
      <x:alignment vertical="top" wrapText="1"/>
    </x:xf>
    <x:xf numFmtId="0" fontId="10" fillId="4" borderId="3" xfId="0" applyNumberFormat="1" applyFont="1" applyFill="1" applyBorder="1" applyAlignment="1">
      <x:alignment horizontal="center" vertical="top" wrapText="1"/>
    </x:xf>
    <x:xf numFmtId="0" fontId="10" fillId="4" borderId="3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3" xfId="0" applyNumberFormat="1" applyFont="1" applyFill="1" applyBorder="1"/>
    <x:xf numFmtId="0" fontId="7" fillId="9" borderId="3" xfId="0" applyNumberFormat="1" applyFont="1" applyFill="1" applyBorder="1" applyAlignment="1">
      <x:alignment wrapText="1"/>
    </x:xf>
    <x:xf numFmtId="0" fontId="7" fillId="9" borderId="3" xfId="0" applyNumberFormat="1" applyFont="1" applyFill="1" applyBorder="1" applyAlignment="1">
      <x:alignment vertical="center" wrapText="1"/>
    </x:xf>
    <x:xf numFmtId="0" fontId="3" fillId="9" borderId="3" xfId="0" applyNumberFormat="1" applyFont="1" applyFill="1" applyBorder="1" applyAlignment="1">
      <x:alignment vertical="center" wrapText="1"/>
    </x:xf>
    <x:xf numFmtId="0" fontId="7" fillId="5" borderId="3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3" xfId="0" applyNumberFormat="1" applyFont="1" applyFill="1" applyBorder="1"/>
    <x:xf numFmtId="0" fontId="11" fillId="8" borderId="3" xfId="0" applyNumberFormat="1" applyFont="1" applyFill="1" applyBorder="1" applyAlignment="1">
      <x:alignment wrapText="1"/>
    </x:xf>
    <x:xf numFmtId="0" fontId="11" fillId="8" borderId="3" xfId="0" applyNumberFormat="1" applyFont="1" applyFill="1" applyBorder="1" applyAlignment="1">
      <x:alignment vertical="top" wrapText="1"/>
    </x:xf>
    <x:xf numFmtId="0" fontId="7" fillId="9" borderId="3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3" xfId="0" applyNumberFormat="1" applyFont="1" applyFill="1" applyBorder="1"/>
    <x:xf numFmtId="0" fontId="7" fillId="10" borderId="3" xfId="0" applyNumberFormat="1" applyFont="1" applyFill="1" applyBorder="1" applyAlignment="1">
      <x:alignment wrapText="1"/>
    </x:xf>
    <x:xf numFmtId="0" fontId="7" fillId="10" borderId="3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3" xfId="0" applyNumberFormat="1" applyFont="1" applyFill="1" applyBorder="1"/>
    <x:xf numFmtId="0" fontId="7" fillId="7" borderId="3" xfId="0" applyNumberFormat="1" applyFont="1" applyFill="1" applyBorder="1" applyAlignment="1">
      <x:alignment wrapText="1"/>
    </x:xf>
    <x:xf numFmtId="0" fontId="7" fillId="3" borderId="0" xfId="0" applyNumberFormat="1" applyFont="1" applyFill="1" applyBorder="1"/>
    <x:xf numFmtId="0" fontId="7" fillId="3" borderId="3" xfId="0" applyNumberFormat="1" applyFont="1" applyFill="1" applyBorder="1"/>
    <x:xf numFmtId="0" fontId="7" fillId="3" borderId="3" xfId="0" applyNumberFormat="1" applyFont="1" applyFill="1" applyBorder="1" applyAlignment="1">
      <x:alignment wrapText="1"/>
    </x:xf>
    <x:xf numFmtId="0" fontId="7" fillId="8" borderId="0" xfId="0" applyNumberFormat="1" applyFont="1" applyFill="1" applyBorder="1"/>
    <x:xf numFmtId="0" fontId="7" fillId="8" borderId="3" xfId="0" applyNumberFormat="1" applyFont="1" applyFill="1" applyBorder="1"/>
    <x:xf numFmtId="0" fontId="7" fillId="8" borderId="3" xfId="0" applyNumberFormat="1" applyFont="1" applyFill="1" applyBorder="1" applyAlignment="1">
      <x:alignment wrapText="1"/>
    </x:xf>
    <x:xf numFmtId="0" fontId="10" fillId="4" borderId="0" xfId="0" applyNumberFormat="1" applyFont="1" applyFill="1" applyBorder="1"/>
    <x:xf numFmtId="0" fontId="10" fillId="4" borderId="3" xfId="0" applyNumberFormat="1" applyFont="1" applyFill="1" applyBorder="1"/>
    <x:xf numFmtId="0" fontId="10" fillId="4" borderId="3" xfId="0" applyNumberFormat="1" applyFont="1" applyFill="1" applyBorder="1" applyAlignment="1">
      <x:alignment wrapText="1"/>
    </x:xf>
    <x:xf numFmtId="0" fontId="10" fillId="4" borderId="3" xfId="0" applyNumberFormat="1" applyFont="1" applyFill="1" applyBorder="1" applyAlignment="1">
      <x:alignment vertical="center" wrapText="1"/>
    </x:xf>
    <x:xf numFmtId="0" fontId="12" fillId="9" borderId="0" xfId="0" applyNumberFormat="1" applyFont="1" applyFill="1" applyBorder="1"/>
    <x:xf numFmtId="0" fontId="12" fillId="9" borderId="3" xfId="0" applyNumberFormat="1" applyFont="1" applyFill="1" applyBorder="1"/>
    <x:xf numFmtId="0" fontId="12" fillId="9" borderId="3" xfId="0" applyNumberFormat="1" applyFont="1" applyFill="1" applyBorder="1" applyAlignment="1">
      <x:alignment wrapText="1"/>
    </x:xf>
    <x:xf numFmtId="0" fontId="12" fillId="9" borderId="3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/>
    <x:xf numFmtId="0" fontId="9" fillId="8" borderId="3" xfId="0" applyNumberFormat="1" applyFont="1" applyFill="1" applyBorder="1"/>
    <x:xf numFmtId="0" fontId="9" fillId="8" borderId="3" xfId="0" applyNumberFormat="1" applyFont="1" applyFill="1" applyBorder="1" applyAlignment="1">
      <x:alignment wrapText="1"/>
    </x:xf>
    <x:xf numFmtId="0" fontId="9" fillId="8" borderId="3" xfId="0" applyNumberFormat="1" applyFont="1" applyFill="1" applyBorder="1" applyAlignment="1">
      <x:alignment vertical="center" wrapText="1"/>
    </x:xf>
    <x:xf numFmtId="0" fontId="13" fillId="8" borderId="0" xfId="0" applyNumberFormat="1" applyFont="1" applyFill="1" applyBorder="1"/>
    <x:xf numFmtId="0" fontId="13" fillId="8" borderId="3" xfId="0" applyNumberFormat="1" applyFont="1" applyFill="1" applyBorder="1"/>
    <x:xf numFmtId="0" fontId="13" fillId="8" borderId="3" xfId="0" applyNumberFormat="1" applyFont="1" applyFill="1" applyBorder="1" applyAlignment="1">
      <x:alignment wrapText="1"/>
    </x:xf>
    <x:xf numFmtId="0" fontId="13" fillId="8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e2661668a04cb2" /><Relationship Type="http://schemas.openxmlformats.org/officeDocument/2006/relationships/theme" Target="/xl/theme/theme1.xml" Id="R7580e2effd614cea" /><Relationship Type="http://schemas.openxmlformats.org/officeDocument/2006/relationships/sharedStrings" Target="/xl/sharedStrings.xml" Id="R883dc42ed5044df0" /><Relationship Type="http://schemas.openxmlformats.org/officeDocument/2006/relationships/worksheet" Target="/xl/worksheets/sheet1.xml" Id="R28e6a808a8aa4c07" /><Relationship Type="http://schemas.openxmlformats.org/officeDocument/2006/relationships/worksheet" Target="/xl/worksheets/sheet2.xml" Id="Rfe78a45aa2aa42da" /><Relationship Type="http://schemas.openxmlformats.org/officeDocument/2006/relationships/worksheet" Target="/xl/worksheets/sheet3.xml" Id="R4c5e301aa0de4d1a" /><Relationship Type="http://schemas.openxmlformats.org/officeDocument/2006/relationships/worksheet" Target="/xl/worksheets/sheet4.xml" Id="R0bd0c01cabfc4e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35" hidden="0" customWidth="1"/>
    <x:col min="4" max="4" width="31" hidden="0" customWidth="1"/>
    <x:col min="5" max="5" width="28" hidden="0" customWidth="1"/>
    <x:col min="6" max="6" width="26" hidden="0" customWidth="1"/>
    <x:col min="7" max="7" width="14" hidden="0" customWidth="1"/>
    <x:col min="8" max="8" width="25" hidden="0" customWidth="1"/>
  </x:cols>
  <x:sheetData>
    <x:row r="1" ht="34" customHeight="1">
      <x:c r="A1" s="5" t="str">
        <x:v>中东军事情报预警 Demo 联合推进计划</x:v>
      </x:c>
      <x:c r="B1" s="5" t="str">
        <x:v>中东军事情报预警 Demo 联合推进计划</x:v>
      </x:c>
      <x:c r="C1" s="5" t="str">
        <x:v>中东军事情报预警 Demo 联合推进计划</x:v>
      </x:c>
      <x:c r="D1" s="5" t="str">
        <x:v>中东军事情报预警 Demo 联合推进计划</x:v>
      </x:c>
      <x:c r="E1" s="5" t="str">
        <x:v>中东军事情报预警 Demo 联合推进计划</x:v>
      </x:c>
      <x:c r="F1" s="5" t="str">
        <x:v>中东军事情报预警 Demo 联合推进计划</x:v>
      </x:c>
      <x:c r="G1" s="5" t="str">
        <x:v>中东军事情报预警 Demo 联合推进计划</x:v>
      </x:c>
      <x:c r="H1" s="5" t="str">
        <x:v>中东军事情报预警 Demo 联合推进计划</x:v>
      </x:c>
    </x:row>
    <x:row r="2" ht="28" customHeight="1">
      <x:c r="A2" s="10" t="str">
        <x:v>以客户可看、可点、可评价的情报成果为主线；日期为阶段成果节点，周末不列为对外承诺工作日。</x:v>
      </x:c>
      <x:c r="B2" s="10" t="str">
        <x:v>以客户可看、可点、可评价的情报成果为主线；日期为阶段成果节点，周末不列为对外承诺工作日。</x:v>
      </x:c>
      <x:c r="C2" s="10" t="str">
        <x:v>以客户可看、可点、可评价的情报成果为主线；日期为阶段成果节点，周末不列为对外承诺工作日。</x:v>
      </x:c>
      <x:c r="D2" s="10" t="str">
        <x:v>以客户可看、可点、可评价的情报成果为主线；日期为阶段成果节点，周末不列为对外承诺工作日。</x:v>
      </x:c>
      <x:c r="E2" s="10" t="str">
        <x:v>以客户可看、可点、可评价的情报成果为主线；日期为阶段成果节点，周末不列为对外承诺工作日。</x:v>
      </x:c>
      <x:c r="F2" s="10" t="str">
        <x:v>以客户可看、可点、可评价的情报成果为主线；日期为阶段成果节点，周末不列为对外承诺工作日。</x:v>
      </x:c>
      <x:c r="G2" s="10" t="str">
        <x:v>以客户可看、可点、可评价的情报成果为主线；日期为阶段成果节点，周末不列为对外承诺工作日。</x:v>
      </x:c>
      <x:c r="H2" s="10" t="str">
        <x:v>以客户可看、可点、可评价的情报成果为主线；日期为阶段成果节点，周末不列为对外承诺工作日。</x:v>
      </x:c>
    </x:row>
    <x:row r="4">
      <x:c r="A4" s="17" t="str">
        <x:v>下次阶段汇报</x:v>
      </x:c>
      <x:c r="B4" s="18" t="str">
        <x:v>下次阶段汇报</x:v>
      </x:c>
      <x:c r="C4" s="17" t="str">
        <x:v>完整 Demo 候选版</x:v>
      </x:c>
      <x:c r="D4" s="18" t="str">
        <x:v>完整 Demo 候选版</x:v>
      </x:c>
      <x:c r="E4" s="17" t="str">
        <x:v>内部 Demo 就绪</x:v>
      </x:c>
      <x:c r="F4" s="18" t="str">
        <x:v>内部 Demo 就绪</x:v>
      </x:c>
      <x:c r="G4" s="17" t="str">
        <x:v>Demo 展示与反馈</x:v>
      </x:c>
      <x:c r="H4" s="18" t="str">
        <x:v>Demo 展示与反馈</x:v>
      </x:c>
    </x:row>
    <x:row r="5">
      <x:c r="A5" s="25" t="str">
        <x:v>2026-07-30</x:v>
      </x:c>
      <x:c r="B5" s="26" t="str">
        <x:v>2026-07-30</x:v>
      </x:c>
      <x:c r="C5" s="25" t="str">
        <x:v>2026-08-11</x:v>
      </x:c>
      <x:c r="D5" s="26" t="str">
        <x:v>2026-08-11</x:v>
      </x:c>
      <x:c r="E5" s="25" t="str">
        <x:v>2026-08-12</x:v>
      </x:c>
      <x:c r="F5" s="26" t="str">
        <x:v>2026-08-12</x:v>
      </x:c>
      <x:c r="G5" s="25" t="str">
        <x:v>2026-08-13</x:v>
      </x:c>
      <x:c r="H5" s="26" t="str">
        <x:v>2026-08-13</x:v>
      </x:c>
    </x:row>
    <x:row r="7" ht="24" customHeight="1">
      <x:c r="A7" s="29" t="str">
        <x:v>按日期形成的客户可见成果</x:v>
      </x:c>
      <x:c r="B7" s="29" t="str">
        <x:v>按日期形成的客户可见成果</x:v>
      </x:c>
      <x:c r="C7" s="29" t="str">
        <x:v>按日期形成的客户可见成果</x:v>
      </x:c>
      <x:c r="D7" s="29" t="str">
        <x:v>按日期形成的客户可见成果</x:v>
      </x:c>
      <x:c r="E7" s="29" t="str">
        <x:v>按日期形成的客户可见成果</x:v>
      </x:c>
      <x:c r="F7" s="29" t="str">
        <x:v>按日期形成的客户可见成果</x:v>
      </x:c>
      <x:c r="G7" s="29" t="str">
        <x:v>按日期形成的客户可见成果</x:v>
      </x:c>
      <x:c r="H7" s="29" t="str">
        <x:v>按日期形成的客户可见成果</x:v>
      </x:c>
    </x:row>
    <x:row r="8">
      <x:c r="A8" s="34" t="str">
        <x:v>日期</x:v>
      </x:c>
      <x:c r="B8" s="34" t="str">
        <x:v>阶段目标</x:v>
      </x:c>
      <x:c r="C8" s="34" t="str">
        <x:v>重点工作</x:v>
      </x:c>
      <x:c r="D8" s="34" t="str">
        <x:v>客户可见成果</x:v>
      </x:c>
      <x:c r="E8" s="34" t="str">
        <x:v>可现场检查</x:v>
      </x:c>
      <x:c r="F8" s="34" t="str">
        <x:v>联合确认</x:v>
      </x:c>
      <x:c r="G8" s="34" t="str">
        <x:v>状态</x:v>
      </x:c>
      <x:c r="H8" s="34" t="str">
        <x:v>说明</x:v>
      </x:c>
    </x:row>
    <x:row r="9" ht="100" customHeight="1">
      <x:c r="A9" s="38" t="str">
        <x:v>7月23日及以前</x:v>
      </x:c>
      <x:c r="B9" s="38" t="str">
        <x:v>形成可继续建设的演示基础</x:v>
      </x:c>
      <x:c r="C9" s="38" t="str">
        <x:v>完成现有系统整合、基础态势页面、部分新近公开数据和分析入口梳理；明确中东热点区域与情报产品主线。</x:v>
      </x:c>
      <x:c r="D9" s="38" t="str">
        <x:v>现有系统基线、中东专题基础、数据来源概况。</x:v>
      </x:c>
      <x:c r="E9" s="38" t="str">
        <x:v>查看当前态势、专题、新近信息和现有分析入口。</x:v>
      </x:c>
      <x:c r="F9" s="38" t="str">
        <x:v>项目组内部已完成</x:v>
      </x:c>
      <x:c r="G9" s="42" t="str">
        <x:v>已完成</x:v>
      </x:c>
      <x:c r="H9" s="38" t="str">
        <x:v>将已完成工作前置展示，不从零开始叙事。</x:v>
      </x:c>
    </x:row>
    <x:row r="10" ht="100" customHeight="1">
      <x:c r="A10" s="38" t="str">
        <x:v>7月24日</x:v>
      </x:c>
      <x:c r="B10" s="38" t="str">
        <x:v>对齐用户问题和成果形式</x:v>
      </x:c>
      <x:c r="C10" s="38" t="str">
        <x:v>展示当前基础；说明实时情报主线；演示情报简报内容样例 v0.1 和证据核验结构。</x:v>
      </x:c>
      <x:c r="D10" s="38" t="str">
        <x:v>简报样例 v0.1、本轮完整计划、首批客户反馈清单。</x:v>
      </x:c>
      <x:c r="E10" s="38" t="str">
        <x:v>逐段评价核心判断、证据、影响、短期趋势和监测项是否有用。</x:v>
      </x:c>
      <x:c r="F10" s="38" t="str">
        <x:v>确认优先区域、三个问题、简报表达习惯</x:v>
      </x:c>
      <x:c r="G10" s="46" t="str">
        <x:v>本次汇报</x:v>
      </x:c>
      <x:c r="H10" s="38" t="str">
        <x:v>简报先做内容，不等待 UI。</x:v>
      </x:c>
    </x:row>
    <x:row r="11" ht="100" customHeight="1">
      <x:c r="A11" s="38" t="str">
        <x:v>7月27—28日</x:v>
      </x:c>
      <x:c r="B11" s="38" t="str">
        <x:v>固化情报结构和数据标准</x:v>
      </x:c>
      <x:c r="C11" s="38" t="str">
        <x:v>将用户问题拆成对象、关系、证据和判断项；完成来源字段、去重、质量、时效和溯源标准；对接 7月28日预警/报告设计初版。</x:v>
      </x:c>
      <x:c r="D11" s="38" t="str">
        <x:v>简报内容规格 v0.2、证据字段和状态说明、界面内容对应关系。</x:v>
      </x:c>
      <x:c r="E11" s="38" t="str">
        <x:v>检查每一个简报结论是否有明确的证据字段、状态和更新规则。</x:v>
      </x:c>
      <x:c r="F11" s="38" t="str">
        <x:v>项目组按已收到反馈继续推进</x:v>
      </x:c>
      <x:c r="G11" s="50" t="str">
        <x:v>计划推进</x:v>
      </x:c>
      <x:c r="H11" s="38" t="str">
        <x:v>设计初版延迟时，must 字段先用现有组件承载。</x:v>
      </x:c>
    </x:row>
    <x:row r="12" ht="100" customHeight="1">
      <x:c r="A12" s="38" t="str">
        <x:v>7月29—30日</x:v>
      </x:c>
      <x:c r="B12" s="38" t="str">
        <x:v>形成第一批真实数据成果</x:v>
      </x:c>
      <x:c r="C12" s="38" t="str">
        <x:v>完成一条公开信息从接入、治理、业务关系组织到态势展示的逐级回看；形成首版证据矩阵、事件演化和情报简报。</x:v>
      </x:c>
      <x:c r="D12" s="38" t="str">
        <x:v>可点击的数据追溯样例、第一批真实证据、简报 v0.3、预警/报告可视化初版。</x:v>
      </x:c>
      <x:c r="E12" s="38" t="str">
        <x:v>现场任选一条信息，回看来源、处理、关系、证据和简报是否对得上。</x:v>
      </x:c>
      <x:c r="F12" s="38" t="str">
        <x:v>7月30日阶段汇报</x:v>
      </x:c>
      <x:c r="G12" s="46" t="str">
        <x:v>阶段汇报</x:v>
      </x:c>
      <x:c r="H12" s="38" t="str">
        <x:v>这是真实贯通的硬性检查点，不以静态样例替代。</x:v>
      </x:c>
    </x:row>
    <x:row r="13" ht="100" customHeight="1">
      <x:c r="A13" s="38" t="str">
        <x:v>7月31日、8月3—5日</x:v>
      </x:c>
      <x:c r="B13" s="38" t="str">
        <x:v>建成核心情报分析链路</x:v>
      </x:c>
      <x:c r="C13" s="38" t="str">
        <x:v>完成两类首批来源的更新与质量检查；建立区域、事件、主体、设施、通道、证据与影响关系；完成 24/72 小时变化、多源核验和影响研判。</x:v>
      </x:c>
      <x:c r="D13" s="38" t="str">
        <x:v>至少 3 条可追溯重点洞察、完整证据链、对象关系与事件时间线、简报 v0.5。</x:v>
      </x:c>
      <x:c r="E13" s="38" t="str">
        <x:v>检查三条洞察是否都有根据、不同说法、影响对象和后续监测项。</x:v>
      </x:c>
      <x:c r="F13" s="38" t="str">
        <x:v>8月5日阶段汇报</x:v>
      </x:c>
      <x:c r="G13" s="46" t="str">
        <x:v>阶段汇报</x:v>
      </x:c>
      <x:c r="H13" s="38" t="str">
        <x:v>客户重点评价判断是否有用、依据是否足够。</x:v>
      </x:c>
    </x:row>
    <x:row r="14" ht="100" customHeight="1">
      <x:c r="A14" s="38" t="str">
        <x:v>8月6—7日、8月10—11日</x:v>
      </x:c>
      <x:c r="B14" s="38" t="str">
        <x:v>形成完整可操作 Demo</x:v>
      </x:c>
      <x:c r="C14" s="38" t="str">
        <x:v>融合预警、报告和现有态势页面；完成事件演化、地图关联、受控智能问答和业务对象/关系调整示例；检查信息冲突、数据延迟和系统异常。</x:v>
      </x:c>
      <x:c r="D14" s="38" t="str">
        <x:v>Demo 候选版、可导出情报简报、动态业务调整效果、数据缺口和最后更新时间提示。</x:v>
      </x:c>
      <x:c r="E14" s="38" t="str">
        <x:v>完整走通“看变化—核证据—判影响—出简报”；演示一次动态业务调整。</x:v>
      </x:c>
      <x:c r="F14" s="38" t="str">
        <x:v>8月11日阶段汇报</x:v>
      </x:c>
      <x:c r="G14" s="46" t="str">
        <x:v>阶段汇报</x:v>
      </x:c>
      <x:c r="H14" s="38" t="str">
        <x:v>数据或单个系统异常时，使用明确 as_of 的最近有效结果。</x:v>
      </x:c>
    </x:row>
    <x:row r="15" ht="100" customHeight="1">
      <x:c r="A15" s="38" t="str">
        <x:v>8月12—13日</x:v>
      </x:c>
      <x:c r="B15" s="38" t="str">
        <x:v>Demo 就绪与展示</x:v>
      </x:c>
      <x:c r="C15" s="38" t="str">
        <x:v>使用当日新近数据刷新成果；完成问题修正、两轮完整彩排、讲解口径、操作说明和备用路径。</x:v>
      </x:c>
      <x:c r="D15" s="38" t="str">
        <x:v>Demo 演示版、当日情报简报、演示脚本、操作说明和备用演示包。</x:v>
      </x:c>
      <x:c r="E15" s="38" t="str">
        <x:v>从当日情报进入，在 8—10 分钟内完成主路径，现场回看证据和版本。</x:v>
      </x:c>
      <x:c r="F15" s="38" t="str">
        <x:v>8月13日 Demo 展示与阶段反馈</x:v>
      </x:c>
      <x:c r="G15" s="54" t="str">
        <x:v>Demo展示</x:v>
      </x:c>
      <x:c r="H15" s="38" t="str">
        <x:v>不表述为最终验收；记录后续优化项。</x:v>
      </x:c>
    </x:row>
    <x:row r="17" ht="24" customHeight="1">
      <x:c r="A17" s="29" t="str">
        <x:v>推进原则</x:v>
      </x:c>
      <x:c r="B17" s="29" t="str">
        <x:v>推进原则</x:v>
      </x:c>
      <x:c r="C17" s="29" t="str">
        <x:v>推进原则</x:v>
      </x:c>
      <x:c r="D17" s="29" t="str">
        <x:v>推进原则</x:v>
      </x:c>
      <x:c r="E17" s="29" t="str">
        <x:v>推进原则</x:v>
      </x:c>
      <x:c r="F17" s="29" t="str">
        <x:v>推进原则</x:v>
      </x:c>
      <x:c r="G17" s="29" t="str">
        <x:v>推进原则</x:v>
      </x:c>
      <x:c r="H17" s="29" t="str">
        <x:v>推进原则</x:v>
      </x:c>
    </x:row>
    <x:row r="18" ht="34" customHeight="1">
      <x:c r="A18" s="60" t="str">
        <x:v>内容先行</x:v>
      </x:c>
      <x:c r="B18" s="60"/>
      <x:c r="C18" s="59" t="str">
        <x:v>7月24日先评审情报内容，不用界面设计延迟作为阻塞理由。</x:v>
      </x:c>
      <x:c r="D18" s="59"/>
      <x:c r="E18" s="59"/>
      <x:c r="F18" s="59"/>
      <x:c r="G18" s="59"/>
      <x:c r="H18" s="59"/>
    </x:row>
    <x:row r="19" ht="34" customHeight="1">
      <x:c r="A19" s="62" t="str">
        <x:v>真实链路</x:v>
      </x:c>
      <x:c r="B19" s="62"/>
      <x:c r="C19" s="61" t="str">
        <x:v>7月30日必须用真实数据检查接入、治理、业务关系和态势结果，不用静态拼接冒充贯通。</x:v>
      </x:c>
      <x:c r="D19" s="61"/>
      <x:c r="E19" s="61"/>
      <x:c r="F19" s="61"/>
      <x:c r="G19" s="61"/>
      <x:c r="H19" s="61"/>
    </x:row>
    <x:row r="20" ht="34" customHeight="1">
      <x:c r="A20" s="60" t="str">
        <x:v>稳定可演示</x:v>
      </x:c>
      <x:c r="B20" s="60"/>
      <x:c r="C20" s="59" t="str">
        <x:v>实时源波动时显示最后成功时间和覆盖缺口；备用包必须带 as_of，不将快照说成实时。</x:v>
      </x:c>
      <x:c r="D20" s="59"/>
      <x:c r="E20" s="59"/>
      <x:c r="F20" s="59"/>
      <x:c r="G20" s="59"/>
      <x:c r="H20" s="59"/>
    </x:row>
  </x:sheetData>
  <x:mergeCells>
    <x:mergeCell ref="A1:H1"/>
    <x:mergeCell ref="A2:H2"/>
    <x:mergeCell ref="A4:B4"/>
    <x:mergeCell ref="A5:B5"/>
    <x:mergeCell ref="C4:D4"/>
    <x:mergeCell ref="C5:D5"/>
    <x:mergeCell ref="E4:F4"/>
    <x:mergeCell ref="E5:F5"/>
    <x:mergeCell ref="G4:H4"/>
    <x:mergeCell ref="G5:H5"/>
    <x:mergeCell ref="A7:H7"/>
    <x:mergeCell ref="A17:H17"/>
    <x:mergeCell ref="A18:B18"/>
    <x:mergeCell ref="C18:H18"/>
    <x:mergeCell ref="A19:B19"/>
    <x:mergeCell ref="C19:H19"/>
    <x:mergeCell ref="A20:B20"/>
    <x:mergeCell ref="C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2" hidden="0" customWidth="1"/>
    <x:col min="4" max="4" width="16" hidden="0" customWidth="1"/>
    <x:col min="5" max="5" width="22" hidden="0" customWidth="1"/>
    <x:col min="6" max="6" width="23" hidden="0" customWidth="1"/>
    <x:col min="7" max="7" width="24" hidden="0" customWidth="1"/>
    <x:col min="8" max="8" width="15" hidden="0" customWidth="1"/>
  </x:cols>
  <x:sheetData>
    <x:row r="1" ht="34" customHeight="1">
      <x:c r="A1" s="5" t="str">
        <x:v>红海—曼德海峡航运与能源通道风险研判</x:v>
      </x:c>
      <x:c r="B1" s="5" t="str">
        <x:v>红海—曼德海峡航运与能源通道风险研判</x:v>
      </x:c>
      <x:c r="C1" s="5" t="str">
        <x:v>红海—曼德海峡航运与能源通道风险研判</x:v>
      </x:c>
      <x:c r="D1" s="5" t="str">
        <x:v>红海—曼德海峡航运与能源通道风险研判</x:v>
      </x:c>
      <x:c r="E1" s="5" t="str">
        <x:v>红海—曼德海峡航运与能源通道风险研判</x:v>
      </x:c>
      <x:c r="F1" s="5" t="str">
        <x:v>红海—曼德海峡航运与能源通道风险研判</x:v>
      </x:c>
      <x:c r="G1" s="5" t="str">
        <x:v>红海—曼德海峡航运与能源通道风险研判</x:v>
      </x:c>
      <x:c r="H1" s="5" t="str">
        <x:v>红海—曼德海峡航运与能源通道风险研判</x:v>
      </x:c>
    </x:row>
    <x:row r="2" ht="28" customHeight="1">
      <x:c r="A2" s="10" t="str">
        <x:v>公开来源内容样例 v0.1 · 截至 2026-07-23 公开信息窗口 · 用于评审简报结构与研判口径，不是正式情报结论或行动指令。</x:v>
      </x:c>
      <x:c r="B2" s="10" t="str">
        <x:v>公开来源内容样例 v0.1 · 截至 2026-07-23 公开信息窗口 · 用于评审简报结构与研判口径，不是正式情报结论或行动指令。</x:v>
      </x:c>
      <x:c r="C2" s="10" t="str">
        <x:v>公开来源内容样例 v0.1 · 截至 2026-07-23 公开信息窗口 · 用于评审简报结构与研判口径，不是正式情报结论或行动指令。</x:v>
      </x:c>
      <x:c r="D2" s="10" t="str">
        <x:v>公开来源内容样例 v0.1 · 截至 2026-07-23 公开信息窗口 · 用于评审简报结构与研判口径，不是正式情报结论或行动指令。</x:v>
      </x:c>
      <x:c r="E2" s="10" t="str">
        <x:v>公开来源内容样例 v0.1 · 截至 2026-07-23 公开信息窗口 · 用于评审简报结构与研判口径，不是正式情报结论或行动指令。</x:v>
      </x:c>
      <x:c r="F2" s="10" t="str">
        <x:v>公开来源内容样例 v0.1 · 截至 2026-07-23 公开信息窗口 · 用于评审简报结构与研判口径，不是正式情报结论或行动指令。</x:v>
      </x:c>
      <x:c r="G2" s="10" t="str">
        <x:v>公开来源内容样例 v0.1 · 截至 2026-07-23 公开信息窗口 · 用于评审简报结构与研判口径，不是正式情报结论或行动指令。</x:v>
      </x:c>
      <x:c r="H2" s="10" t="str">
        <x:v>公开来源内容样例 v0.1 · 截至 2026-07-23 公开信息窗口 · 用于评审简报结构与研判口径，不是正式情报结论或行动指令。</x:v>
      </x:c>
    </x:row>
    <x:row r="4">
      <x:c r="A4" s="17" t="str">
        <x:v>证据项</x:v>
      </x:c>
      <x:c r="B4" s="18"/>
      <x:c r="C4" s="17" t="str">
        <x:v>支持项</x:v>
      </x:c>
      <x:c r="D4" s="18"/>
      <x:c r="E4" s="17" t="str">
        <x:v>背景项</x:v>
      </x:c>
      <x:c r="F4" s="18"/>
      <x:c r="G4" s="17" t="str">
        <x:v>当事方主张</x:v>
      </x:c>
      <x:c r="H4" s="18"/>
    </x:row>
    <x:row r="5">
      <x:c r="A5" s="25" t="n">
        <x:f>COUNTA('证据核验'!A7:A12)</x:f>
        <x:v>6</x:v>
      </x:c>
      <x:c r="B5" s="26"/>
      <x:c r="C5" s="25" t="n">
        <x:f>COUNTIF('证据核验'!G7:G20,"支持")</x:f>
        <x:v>4</x:v>
      </x:c>
      <x:c r="D5" s="26"/>
      <x:c r="E5" s="25" t="n">
        <x:f>COUNTIF('证据核验'!G7:G20,"背景")</x:f>
        <x:v>2</x:v>
      </x:c>
      <x:c r="F5" s="26"/>
      <x:c r="G5" s="25" t="n">
        <x:f>COUNTIF('证据核验'!C7:C20,"当事方主张")</x:f>
        <x:v>2</x:v>
      </x:c>
      <x:c r="H5" s="26"/>
    </x:row>
    <x:row r="7" ht="24" customHeight="1">
      <x:c r="A7" s="29" t="str">
        <x:v>一、核心判断</x:v>
      </x:c>
      <x:c r="B7" s="29" t="str">
        <x:v>一、核心判断</x:v>
      </x:c>
      <x:c r="C7" s="29" t="str">
        <x:v>一、核心判断</x:v>
      </x:c>
      <x:c r="D7" s="29" t="str">
        <x:v>一、核心判断</x:v>
      </x:c>
      <x:c r="E7" s="29" t="str">
        <x:v>一、核心判断</x:v>
      </x:c>
      <x:c r="F7" s="29" t="str">
        <x:v>一、核心判断</x:v>
      </x:c>
      <x:c r="G7" s="29" t="str">
        <x:v>一、核心判断</x:v>
      </x:c>
      <x:c r="H7" s="29" t="str">
        <x:v>一、核心判断</x:v>
      </x:c>
    </x:row>
    <x:row r="8" ht="34" customHeight="1">
      <x:c r="A8" s="67" t="str">
        <x:v>1. 红海南部至曼德海峡航运风险较前期明显升高。7月20日开始出现针对与沙特关联航运的公开威胁表态，随后出现油轮遇袭报告，表明风险已由言论威胁向可观测海上事件转化。
2. 当前可以确认“威胁表态已发生”和“至少有油轮遭未知投射物击中的海事报告”；但遇袭船数、事件归因、损毁程度和威胁是否具备持续执行能力，仍需独立来源继续核验。
3. 短期最直接的影响不是“通道已关闭”，而是航线风险分级、船员安全、保险/租船成本和绕行决策压力升高。总体研判置信度为“中”：风险升高有公开证据支撑，但规模和持续性尚不充分。</x:v>
      </x:c>
      <x:c r="B8" s="67" t="str">
        <x:v>1. 红海南部至曼德海峡航运风险较前期明显升高。7月20日开始出现针对与沙特关联航运的公开威胁表态，随后出现油轮遇袭报告，表明风险已由言论威胁向可观测海上事件转化。
2. 当前可以确认“威胁表态已发生”和“至少有油轮遭未知投射物击中的海事报告”；但遇袭船数、事件归因、损毁程度和威胁是否具备持续执行能力，仍需独立来源继续核验。
3. 短期最直接的影响不是“通道已关闭”，而是航线风险分级、船员安全、保险/租船成本和绕行决策压力升高。总体研判置信度为“中”：风险升高有公开证据支撑，但规模和持续性尚不充分。</x:v>
      </x:c>
      <x:c r="C8" s="67" t="str">
        <x:v>1. 红海南部至曼德海峡航运风险较前期明显升高。7月20日开始出现针对与沙特关联航运的公开威胁表态，随后出现油轮遇袭报告，表明风险已由言论威胁向可观测海上事件转化。
2. 当前可以确认“威胁表态已发生”和“至少有油轮遭未知投射物击中的海事报告”；但遇袭船数、事件归因、损毁程度和威胁是否具备持续执行能力，仍需独立来源继续核验。
3. 短期最直接的影响不是“通道已关闭”，而是航线风险分级、船员安全、保险/租船成本和绕行决策压力升高。总体研判置信度为“中”：风险升高有公开证据支撑，但规模和持续性尚不充分。</x:v>
      </x:c>
      <x:c r="D8" s="67" t="str">
        <x:v>1. 红海南部至曼德海峡航运风险较前期明显升高。7月20日开始出现针对与沙特关联航运的公开威胁表态，随后出现油轮遇袭报告，表明风险已由言论威胁向可观测海上事件转化。
2. 当前可以确认“威胁表态已发生”和“至少有油轮遭未知投射物击中的海事报告”；但遇袭船数、事件归因、损毁程度和威胁是否具备持续执行能力，仍需独立来源继续核验。
3. 短期最直接的影响不是“通道已关闭”，而是航线风险分级、船员安全、保险/租船成本和绕行决策压力升高。总体研判置信度为“中”：风险升高有公开证据支撑，但规模和持续性尚不充分。</x:v>
      </x:c>
      <x:c r="E8" s="67" t="str">
        <x:v>1. 红海南部至曼德海峡航运风险较前期明显升高。7月20日开始出现针对与沙特关联航运的公开威胁表态，随后出现油轮遇袭报告，表明风险已由言论威胁向可观测海上事件转化。
2. 当前可以确认“威胁表态已发生”和“至少有油轮遭未知投射物击中的海事报告”；但遇袭船数、事件归因、损毁程度和威胁是否具备持续执行能力，仍需独立来源继续核验。
3. 短期最直接的影响不是“通道已关闭”，而是航线风险分级、船员安全、保险/租船成本和绕行决策压力升高。总体研判置信度为“中”：风险升高有公开证据支撑，但规模和持续性尚不充分。</x:v>
      </x:c>
      <x:c r="F8" s="67" t="str">
        <x:v>1. 红海南部至曼德海峡航运风险较前期明显升高。7月20日开始出现针对与沙特关联航运的公开威胁表态，随后出现油轮遇袭报告，表明风险已由言论威胁向可观测海上事件转化。
2. 当前可以确认“威胁表态已发生”和“至少有油轮遭未知投射物击中的海事报告”；但遇袭船数、事件归因、损毁程度和威胁是否具备持续执行能力，仍需独立来源继续核验。
3. 短期最直接的影响不是“通道已关闭”，而是航线风险分级、船员安全、保险/租船成本和绕行决策压力升高。总体研判置信度为“中”：风险升高有公开证据支撑，但规模和持续性尚不充分。</x:v>
      </x:c>
      <x:c r="G8" s="67" t="str">
        <x:v>1. 红海南部至曼德海峡航运风险较前期明显升高。7月20日开始出现针对与沙特关联航运的公开威胁表态，随后出现油轮遇袭报告，表明风险已由言论威胁向可观测海上事件转化。
2. 当前可以确认“威胁表态已发生”和“至少有油轮遭未知投射物击中的海事报告”；但遇袭船数、事件归因、损毁程度和威胁是否具备持续执行能力，仍需独立来源继续核验。
3. 短期最直接的影响不是“通道已关闭”，而是航线风险分级、船员安全、保险/租船成本和绕行决策压力升高。总体研判置信度为“中”：风险升高有公开证据支撑，但规模和持续性尚不充分。</x:v>
      </x:c>
      <x:c r="H8" s="67" t="str">
        <x:v>1. 红海南部至曼德海峡航运风险较前期明显升高。7月20日开始出现针对与沙特关联航运的公开威胁表态，随后出现油轮遇袭报告，表明风险已由言论威胁向可观测海上事件转化。
2. 当前可以确认“威胁表态已发生”和“至少有油轮遭未知投射物击中的海事报告”；但遇袭船数、事件归因、损毁程度和威胁是否具备持续执行能力，仍需独立来源继续核验。
3. 短期最直接的影响不是“通道已关闭”，而是航线风险分级、船员安全、保险/租船成本和绕行决策压力升高。总体研判置信度为“中”：风险升高有公开证据支撑，但规模和持续性尚不充分。</x:v>
      </x:c>
    </x:row>
    <x:row r="9" ht="34" customHeight="1">
      <x:c r="A9" s="67" t="str">
        <x:v>1. 红海南部至曼德海峡航运风险较前期明显升高。7月20日开始出现针对与沙特关联航运的公开威胁表态，随后出现油轮遇袭报告，表明风险已由言论威胁向可观测海上事件转化。
2. 当前可以确认“威胁表态已发生”和“至少有油轮遭未知投射物击中的海事报告”；但遇袭船数、事件归因、损毁程度和威胁是否具备持续执行能力，仍需独立来源继续核验。
3. 短期最直接的影响不是“通道已关闭”，而是航线风险分级、船员安全、保险/租船成本和绕行决策压力升高。总体研判置信度为“中”：风险升高有公开证据支撑，但规模和持续性尚不充分。</x:v>
      </x:c>
      <x:c r="B9" s="67" t="str">
        <x:v>1. 红海南部至曼德海峡航运风险较前期明显升高。7月20日开始出现针对与沙特关联航运的公开威胁表态，随后出现油轮遇袭报告，表明风险已由言论威胁向可观测海上事件转化。
2. 当前可以确认“威胁表态已发生”和“至少有油轮遭未知投射物击中的海事报告”；但遇袭船数、事件归因、损毁程度和威胁是否具备持续执行能力，仍需独立来源继续核验。
3. 短期最直接的影响不是“通道已关闭”，而是航线风险分级、船员安全、保险/租船成本和绕行决策压力升高。总体研判置信度为“中”：风险升高有公开证据支撑，但规模和持续性尚不充分。</x:v>
      </x:c>
      <x:c r="C9" s="67" t="str">
        <x:v>1. 红海南部至曼德海峡航运风险较前期明显升高。7月20日开始出现针对与沙特关联航运的公开威胁表态，随后出现油轮遇袭报告，表明风险已由言论威胁向可观测海上事件转化。
2. 当前可以确认“威胁表态已发生”和“至少有油轮遭未知投射物击中的海事报告”；但遇袭船数、事件归因、损毁程度和威胁是否具备持续执行能力，仍需独立来源继续核验。
3. 短期最直接的影响不是“通道已关闭”，而是航线风险分级、船员安全、保险/租船成本和绕行决策压力升高。总体研判置信度为“中”：风险升高有公开证据支撑，但规模和持续性尚不充分。</x:v>
      </x:c>
      <x:c r="D9" s="67" t="str">
        <x:v>1. 红海南部至曼德海峡航运风险较前期明显升高。7月20日开始出现针对与沙特关联航运的公开威胁表态，随后出现油轮遇袭报告，表明风险已由言论威胁向可观测海上事件转化。
2. 当前可以确认“威胁表态已发生”和“至少有油轮遭未知投射物击中的海事报告”；但遇袭船数、事件归因、损毁程度和威胁是否具备持续执行能力，仍需独立来源继续核验。
3. 短期最直接的影响不是“通道已关闭”，而是航线风险分级、船员安全、保险/租船成本和绕行决策压力升高。总体研判置信度为“中”：风险升高有公开证据支撑，但规模和持续性尚不充分。</x:v>
      </x:c>
      <x:c r="E9" s="67" t="str">
        <x:v>1. 红海南部至曼德海峡航运风险较前期明显升高。7月20日开始出现针对与沙特关联航运的公开威胁表态，随后出现油轮遇袭报告，表明风险已由言论威胁向可观测海上事件转化。
2. 当前可以确认“威胁表态已发生”和“至少有油轮遭未知投射物击中的海事报告”；但遇袭船数、事件归因、损毁程度和威胁是否具备持续执行能力，仍需独立来源继续核验。
3. 短期最直接的影响不是“通道已关闭”，而是航线风险分级、船员安全、保险/租船成本和绕行决策压力升高。总体研判置信度为“中”：风险升高有公开证据支撑，但规模和持续性尚不充分。</x:v>
      </x:c>
      <x:c r="F9" s="67" t="str">
        <x:v>1. 红海南部至曼德海峡航运风险较前期明显升高。7月20日开始出现针对与沙特关联航运的公开威胁表态，随后出现油轮遇袭报告，表明风险已由言论威胁向可观测海上事件转化。
2. 当前可以确认“威胁表态已发生”和“至少有油轮遭未知投射物击中的海事报告”；但遇袭船数、事件归因、损毁程度和威胁是否具备持续执行能力，仍需独立来源继续核验。
3. 短期最直接的影响不是“通道已关闭”，而是航线风险分级、船员安全、保险/租船成本和绕行决策压力升高。总体研判置信度为“中”：风险升高有公开证据支撑，但规模和持续性尚不充分。</x:v>
      </x:c>
      <x:c r="G9" s="67" t="str">
        <x:v>1. 红海南部至曼德海峡航运风险较前期明显升高。7月20日开始出现针对与沙特关联航运的公开威胁表态，随后出现油轮遇袭报告，表明风险已由言论威胁向可观测海上事件转化。
2. 当前可以确认“威胁表态已发生”和“至少有油轮遭未知投射物击中的海事报告”；但遇袭船数、事件归因、损毁程度和威胁是否具备持续执行能力，仍需独立来源继续核验。
3. 短期最直接的影响不是“通道已关闭”，而是航线风险分级、船员安全、保险/租船成本和绕行决策压力升高。总体研判置信度为“中”：风险升高有公开证据支撑，但规模和持续性尚不充分。</x:v>
      </x:c>
      <x:c r="H9" s="67" t="str">
        <x:v>1. 红海南部至曼德海峡航运风险较前期明显升高。7月20日开始出现针对与沙特关联航运的公开威胁表态，随后出现油轮遇袭报告，表明风险已由言论威胁向可观测海上事件转化。
2. 当前可以确认“威胁表态已发生”和“至少有油轮遭未知投射物击中的海事报告”；但遇袭船数、事件归因、损毁程度和威胁是否具备持续执行能力，仍需独立来源继续核验。
3. 短期最直接的影响不是“通道已关闭”，而是航线风险分级、船员安全、保险/租船成本和绕行决策压力升高。总体研判置信度为“中”：风险升高有公开证据支撑，但规模和持续性尚不充分。</x:v>
      </x:c>
    </x:row>
    <x:row r="10" ht="34" customHeight="1">
      <x:c r="A10" s="67" t="str">
        <x:v>1. 红海南部至曼德海峡航运风险较前期明显升高。7月20日开始出现针对与沙特关联航运的公开威胁表态，随后出现油轮遇袭报告，表明风险已由言论威胁向可观测海上事件转化。
2. 当前可以确认“威胁表态已发生”和“至少有油轮遭未知投射物击中的海事报告”；但遇袭船数、事件归因、损毁程度和威胁是否具备持续执行能力，仍需独立来源继续核验。
3. 短期最直接的影响不是“通道已关闭”，而是航线风险分级、船员安全、保险/租船成本和绕行决策压力升高。总体研判置信度为“中”：风险升高有公开证据支撑，但规模和持续性尚不充分。</x:v>
      </x:c>
      <x:c r="B10" s="67" t="str">
        <x:v>1. 红海南部至曼德海峡航运风险较前期明显升高。7月20日开始出现针对与沙特关联航运的公开威胁表态，随后出现油轮遇袭报告，表明风险已由言论威胁向可观测海上事件转化。
2. 当前可以确认“威胁表态已发生”和“至少有油轮遭未知投射物击中的海事报告”；但遇袭船数、事件归因、损毁程度和威胁是否具备持续执行能力，仍需独立来源继续核验。
3. 短期最直接的影响不是“通道已关闭”，而是航线风险分级、船员安全、保险/租船成本和绕行决策压力升高。总体研判置信度为“中”：风险升高有公开证据支撑，但规模和持续性尚不充分。</x:v>
      </x:c>
      <x:c r="C10" s="67" t="str">
        <x:v>1. 红海南部至曼德海峡航运风险较前期明显升高。7月20日开始出现针对与沙特关联航运的公开威胁表态，随后出现油轮遇袭报告，表明风险已由言论威胁向可观测海上事件转化。
2. 当前可以确认“威胁表态已发生”和“至少有油轮遭未知投射物击中的海事报告”；但遇袭船数、事件归因、损毁程度和威胁是否具备持续执行能力，仍需独立来源继续核验。
3. 短期最直接的影响不是“通道已关闭”，而是航线风险分级、船员安全、保险/租船成本和绕行决策压力升高。总体研判置信度为“中”：风险升高有公开证据支撑，但规模和持续性尚不充分。</x:v>
      </x:c>
      <x:c r="D10" s="67" t="str">
        <x:v>1. 红海南部至曼德海峡航运风险较前期明显升高。7月20日开始出现针对与沙特关联航运的公开威胁表态，随后出现油轮遇袭报告，表明风险已由言论威胁向可观测海上事件转化。
2. 当前可以确认“威胁表态已发生”和“至少有油轮遭未知投射物击中的海事报告”；但遇袭船数、事件归因、损毁程度和威胁是否具备持续执行能力，仍需独立来源继续核验。
3. 短期最直接的影响不是“通道已关闭”，而是航线风险分级、船员安全、保险/租船成本和绕行决策压力升高。总体研判置信度为“中”：风险升高有公开证据支撑，但规模和持续性尚不充分。</x:v>
      </x:c>
      <x:c r="E10" s="67" t="str">
        <x:v>1. 红海南部至曼德海峡航运风险较前期明显升高。7月20日开始出现针对与沙特关联航运的公开威胁表态，随后出现油轮遇袭报告，表明风险已由言论威胁向可观测海上事件转化。
2. 当前可以确认“威胁表态已发生”和“至少有油轮遭未知投射物击中的海事报告”；但遇袭船数、事件归因、损毁程度和威胁是否具备持续执行能力，仍需独立来源继续核验。
3. 短期最直接的影响不是“通道已关闭”，而是航线风险分级、船员安全、保险/租船成本和绕行决策压力升高。总体研判置信度为“中”：风险升高有公开证据支撑，但规模和持续性尚不充分。</x:v>
      </x:c>
      <x:c r="F10" s="67" t="str">
        <x:v>1. 红海南部至曼德海峡航运风险较前期明显升高。7月20日开始出现针对与沙特关联航运的公开威胁表态，随后出现油轮遇袭报告，表明风险已由言论威胁向可观测海上事件转化。
2. 当前可以确认“威胁表态已发生”和“至少有油轮遭未知投射物击中的海事报告”；但遇袭船数、事件归因、损毁程度和威胁是否具备持续执行能力，仍需独立来源继续核验。
3. 短期最直接的影响不是“通道已关闭”，而是航线风险分级、船员安全、保险/租船成本和绕行决策压力升高。总体研判置信度为“中”：风险升高有公开证据支撑，但规模和持续性尚不充分。</x:v>
      </x:c>
      <x:c r="G10" s="67" t="str">
        <x:v>1. 红海南部至曼德海峡航运风险较前期明显升高。7月20日开始出现针对与沙特关联航运的公开威胁表态，随后出现油轮遇袭报告，表明风险已由言论威胁向可观测海上事件转化。
2. 当前可以确认“威胁表态已发生”和“至少有油轮遭未知投射物击中的海事报告”；但遇袭船数、事件归因、损毁程度和威胁是否具备持续执行能力，仍需独立来源继续核验。
3. 短期最直接的影响不是“通道已关闭”，而是航线风险分级、船员安全、保险/租船成本和绕行决策压力升高。总体研判置信度为“中”：风险升高有公开证据支撑，但规模和持续性尚不充分。</x:v>
      </x:c>
      <x:c r="H10" s="67" t="str">
        <x:v>1. 红海南部至曼德海峡航运风险较前期明显升高。7月20日开始出现针对与沙特关联航运的公开威胁表态，随后出现油轮遇袭报告，表明风险已由言论威胁向可观测海上事件转化。
2. 当前可以确认“威胁表态已发生”和“至少有油轮遭未知投射物击中的海事报告”；但遇袭船数、事件归因、损毁程度和威胁是否具备持续执行能力，仍需独立来源继续核验。
3. 短期最直接的影响不是“通道已关闭”，而是航线风险分级、船员安全、保险/租船成本和绕行决策压力升高。总体研判置信度为“中”：风险升高有公开证据支撑，但规模和持续性尚不充分。</x:v>
      </x:c>
    </x:row>
    <x:row r="11" ht="34" customHeight="1">
      <x:c r="A11" s="67" t="str">
        <x:v>1. 红海南部至曼德海峡航运风险较前期明显升高。7月20日开始出现针对与沙特关联航运的公开威胁表态，随后出现油轮遇袭报告，表明风险已由言论威胁向可观测海上事件转化。
2. 当前可以确认“威胁表态已发生”和“至少有油轮遭未知投射物击中的海事报告”；但遇袭船数、事件归因、损毁程度和威胁是否具备持续执行能力，仍需独立来源继续核验。
3. 短期最直接的影响不是“通道已关闭”，而是航线风险分级、船员安全、保险/租船成本和绕行决策压力升高。总体研判置信度为“中”：风险升高有公开证据支撑，但规模和持续性尚不充分。</x:v>
      </x:c>
      <x:c r="B11" s="67" t="str">
        <x:v>1. 红海南部至曼德海峡航运风险较前期明显升高。7月20日开始出现针对与沙特关联航运的公开威胁表态，随后出现油轮遇袭报告，表明风险已由言论威胁向可观测海上事件转化。
2. 当前可以确认“威胁表态已发生”和“至少有油轮遭未知投射物击中的海事报告”；但遇袭船数、事件归因、损毁程度和威胁是否具备持续执行能力，仍需独立来源继续核验。
3. 短期最直接的影响不是“通道已关闭”，而是航线风险分级、船员安全、保险/租船成本和绕行决策压力升高。总体研判置信度为“中”：风险升高有公开证据支撑，但规模和持续性尚不充分。</x:v>
      </x:c>
      <x:c r="C11" s="67" t="str">
        <x:v>1. 红海南部至曼德海峡航运风险较前期明显升高。7月20日开始出现针对与沙特关联航运的公开威胁表态，随后出现油轮遇袭报告，表明风险已由言论威胁向可观测海上事件转化。
2. 当前可以确认“威胁表态已发生”和“至少有油轮遭未知投射物击中的海事报告”；但遇袭船数、事件归因、损毁程度和威胁是否具备持续执行能力，仍需独立来源继续核验。
3. 短期最直接的影响不是“通道已关闭”，而是航线风险分级、船员安全、保险/租船成本和绕行决策压力升高。总体研判置信度为“中”：风险升高有公开证据支撑，但规模和持续性尚不充分。</x:v>
      </x:c>
      <x:c r="D11" s="67" t="str">
        <x:v>1. 红海南部至曼德海峡航运风险较前期明显升高。7月20日开始出现针对与沙特关联航运的公开威胁表态，随后出现油轮遇袭报告，表明风险已由言论威胁向可观测海上事件转化。
2. 当前可以确认“威胁表态已发生”和“至少有油轮遭未知投射物击中的海事报告”；但遇袭船数、事件归因、损毁程度和威胁是否具备持续执行能力，仍需独立来源继续核验。
3. 短期最直接的影响不是“通道已关闭”，而是航线风险分级、船员安全、保险/租船成本和绕行决策压力升高。总体研判置信度为“中”：风险升高有公开证据支撑，但规模和持续性尚不充分。</x:v>
      </x:c>
      <x:c r="E11" s="67" t="str">
        <x:v>1. 红海南部至曼德海峡航运风险较前期明显升高。7月20日开始出现针对与沙特关联航运的公开威胁表态，随后出现油轮遇袭报告，表明风险已由言论威胁向可观测海上事件转化。
2. 当前可以确认“威胁表态已发生”和“至少有油轮遭未知投射物击中的海事报告”；但遇袭船数、事件归因、损毁程度和威胁是否具备持续执行能力，仍需独立来源继续核验。
3. 短期最直接的影响不是“通道已关闭”，而是航线风险分级、船员安全、保险/租船成本和绕行决策压力升高。总体研判置信度为“中”：风险升高有公开证据支撑，但规模和持续性尚不充分。</x:v>
      </x:c>
      <x:c r="F11" s="67" t="str">
        <x:v>1. 红海南部至曼德海峡航运风险较前期明显升高。7月20日开始出现针对与沙特关联航运的公开威胁表态，随后出现油轮遇袭报告，表明风险已由言论威胁向可观测海上事件转化。
2. 当前可以确认“威胁表态已发生”和“至少有油轮遭未知投射物击中的海事报告”；但遇袭船数、事件归因、损毁程度和威胁是否具备持续执行能力，仍需独立来源继续核验。
3. 短期最直接的影响不是“通道已关闭”，而是航线风险分级、船员安全、保险/租船成本和绕行决策压力升高。总体研判置信度为“中”：风险升高有公开证据支撑，但规模和持续性尚不充分。</x:v>
      </x:c>
      <x:c r="G11" s="67" t="str">
        <x:v>1. 红海南部至曼德海峡航运风险较前期明显升高。7月20日开始出现针对与沙特关联航运的公开威胁表态，随后出现油轮遇袭报告，表明风险已由言论威胁向可观测海上事件转化。
2. 当前可以确认“威胁表态已发生”和“至少有油轮遭未知投射物击中的海事报告”；但遇袭船数、事件归因、损毁程度和威胁是否具备持续执行能力，仍需独立来源继续核验。
3. 短期最直接的影响不是“通道已关闭”，而是航线风险分级、船员安全、保险/租船成本和绕行决策压力升高。总体研判置信度为“中”：风险升高有公开证据支撑，但规模和持续性尚不充分。</x:v>
      </x:c>
      <x:c r="H11" s="67" t="str">
        <x:v>1. 红海南部至曼德海峡航运风险较前期明显升高。7月20日开始出现针对与沙特关联航运的公开威胁表态，随后出现油轮遇袭报告，表明风险已由言论威胁向可观测海上事件转化。
2. 当前可以确认“威胁表态已发生”和“至少有油轮遭未知投射物击中的海事报告”；但遇袭船数、事件归因、损毁程度和威胁是否具备持续执行能力，仍需独立来源继续核验。
3. 短期最直接的影响不是“通道已关闭”，而是航线风险分级、船员安全、保险/租船成本和绕行决策压力升高。总体研判置信度为“中”：风险升高有公开证据支撑，但规模和持续性尚不充分。</x:v>
      </x:c>
    </x:row>
    <x:row r="13" ht="24" customHeight="1">
      <x:c r="A13" s="29" t="str">
        <x:v>二、事实、主张与核验状态</x:v>
      </x:c>
      <x:c r="B13" s="29" t="str">
        <x:v>二、事实、主张与核验状态</x:v>
      </x:c>
      <x:c r="C13" s="29" t="str">
        <x:v>二、事实、主张与核验状态</x:v>
      </x:c>
      <x:c r="D13" s="29" t="str">
        <x:v>二、事实、主张与核验状态</x:v>
      </x:c>
      <x:c r="E13" s="29" t="str">
        <x:v>二、事实、主张与核验状态</x:v>
      </x:c>
      <x:c r="F13" s="29" t="str">
        <x:v>二、事实、主张与核验状态</x:v>
      </x:c>
      <x:c r="G13" s="29" t="str">
        <x:v>二、事实、主张与核验状态</x:v>
      </x:c>
      <x:c r="H13" s="29" t="str">
        <x:v>二、事实、主张与核验状态</x:v>
      </x:c>
    </x:row>
    <x:row r="14">
      <x:c r="A14" s="34" t="str">
        <x:v>时间</x:v>
      </x:c>
      <x:c r="B14" s="34" t="str">
        <x:v>类型</x:v>
      </x:c>
      <x:c r="C14" s="34" t="str">
        <x:v>内容</x:v>
      </x:c>
      <x:c r="D14" s="34"/>
      <x:c r="E14" s="34"/>
      <x:c r="F14" s="34" t="str">
        <x:v>当前状态</x:v>
      </x:c>
      <x:c r="G14" s="34" t="str">
        <x:v>判断影响</x:v>
      </x:c>
      <x:c r="H14" s="34" t="str">
        <x:v>证据编号</x:v>
      </x:c>
    </x:row>
    <x:row r="15" ht="58" customHeight="1">
      <x:c r="A15" s="38" t="str">
        <x:v>7月20日</x:v>
      </x:c>
      <x:c r="B15" s="38" t="str">
        <x:v>当事方主张</x:v>
      </x:c>
      <x:c r="C15" s="38" t="str">
        <x:v>胡塞方面公开宣布针对与沙特关联航运的海上限制/封锁威胁。</x:v>
      </x:c>
      <x:c r="D15" s="38"/>
      <x:c r="E15" s="38"/>
      <x:c r="F15" s="38" t="str">
        <x:v>表态已确认；实际执行范围待核实</x:v>
      </x:c>
      <x:c r="G15" s="38" t="str">
        <x:v>风险预期升高</x:v>
      </x:c>
      <x:c r="H15" s="38" t="str">
        <x:v>E-01 / E-02</x:v>
      </x:c>
    </x:row>
    <x:row r="16" ht="58" customHeight="1">
      <x:c r="A16" s="68" t="str">
        <x:v>7月22—23日</x:v>
      </x:c>
      <x:c r="B16" s="68" t="str">
        <x:v>可观测事件</x:v>
      </x:c>
      <x:c r="C16" s="68" t="str">
        <x:v>AP 援引 UKMTO 报告称，一艘油轮在沙特 Al Shuqaiq 西南约 130 公里处遭未知投射物击中。</x:v>
      </x:c>
      <x:c r="D16" s="68"/>
      <x:c r="E16" s="68"/>
      <x:c r="F16" s="68" t="str">
        <x:v>事件部分核实；投射物与归因待核实</x:v>
      </x:c>
      <x:c r="G16" s="68" t="str">
        <x:v>威胁由表态向实际事件转化</x:v>
      </x:c>
      <x:c r="H16" s="68" t="str">
        <x:v>E-03</x:v>
      </x:c>
    </x:row>
    <x:row r="17" ht="58" customHeight="1">
      <x:c r="A17" s="38" t="str">
        <x:v>7月23日</x:v>
      </x:c>
      <x:c r="B17" s="38" t="str">
        <x:v>当事方主张</x:v>
      </x:c>
      <x:c r="C17" s="38" t="str">
        <x:v>胡塞方面宣称针对两艘沙特油轮发动攻击。</x:v>
      </x:c>
      <x:c r="D17" s="38"/>
      <x:c r="E17" s="38"/>
      <x:c r="F17" s="38" t="str">
        <x:v>主张已确认；船数、损毁和归因尚需独立核验</x:v>
      </x:c>
      <x:c r="G17" s="38" t="str">
        <x:v>不能直接作为两起已证实攻击使用</x:v>
      </x:c>
      <x:c r="H17" s="38" t="str">
        <x:v>E-04</x:v>
      </x:c>
    </x:row>
    <x:row r="18" ht="58" customHeight="1">
      <x:c r="A18" s="68" t="str">
        <x:v>持续背景</x:v>
      </x:c>
      <x:c r="B18" s="68" t="str">
        <x:v>权威背景</x:v>
      </x:c>
      <x:c r="C18" s="68" t="str">
        <x:v>IMO 持续强调中东重要航运通道的航行安全与航次风险评估。</x:v>
      </x:c>
      <x:c r="D18" s="68"/>
      <x:c r="E18" s="68"/>
      <x:c r="F18" s="68" t="str">
        <x:v>背景信息已确认</x:v>
      </x:c>
      <x:c r="G18" s="68" t="str">
        <x:v>支撑持续监测和航程风险管理</x:v>
      </x:c>
      <x:c r="H18" s="68" t="str">
        <x:v>E-05 / E-06</x:v>
      </x:c>
    </x:row>
    <x:row r="20" ht="24" customHeight="1">
      <x:c r="A20" s="29" t="str">
        <x:v>三、短期趋势与触发条件</x:v>
      </x:c>
      <x:c r="B20" s="29" t="str">
        <x:v>三、短期趋势与触发条件</x:v>
      </x:c>
      <x:c r="C20" s="29" t="str">
        <x:v>三、短期趋势与触发条件</x:v>
      </x:c>
      <x:c r="D20" s="29" t="str">
        <x:v>三、短期趋势与触发条件</x:v>
      </x:c>
      <x:c r="E20" s="29" t="str">
        <x:v>三、短期趋势与触发条件</x:v>
      </x:c>
      <x:c r="F20" s="29" t="str">
        <x:v>三、短期趋势与触发条件</x:v>
      </x:c>
      <x:c r="G20" s="29" t="str">
        <x:v>三、短期趋势与触发条件</x:v>
      </x:c>
      <x:c r="H20" s="29" t="str">
        <x:v>三、短期趋势与触发条件</x:v>
      </x:c>
    </x:row>
    <x:row r="21">
      <x:c r="A21" s="34" t="str">
        <x:v>情形</x:v>
      </x:c>
      <x:c r="B21" s="34" t="str">
        <x:v>当前判断</x:v>
      </x:c>
      <x:c r="C21" s="34"/>
      <x:c r="D21" s="34"/>
      <x:c r="E21" s="34" t="str">
        <x:v>需要监测的信号</x:v>
      </x:c>
      <x:c r="F21" s="34"/>
      <x:c r="G21" s="34"/>
      <x:c r="H21" s="34" t="str">
        <x:v>判断更新动作</x:v>
      </x:c>
    </x:row>
    <x:row r="22" ht="62" customHeight="1">
      <x:c r="A22" s="38" t="str">
        <x:v>最可能情形</x:v>
      </x:c>
      <x:c r="B22" s="38" t="str">
        <x:v>局部威胁和海上事件推高航线审查、保险和绕行压力，但暂无足够证据表明通道已经关闭。</x:v>
      </x:c>
      <x:c r="C22" s="38"/>
      <x:c r="D22" s="38"/>
      <x:c r="E22" s="38" t="str">
        <x:v>新海事通报、官方航行警告、商船聚合航线变化、保险/运营商通告</x:v>
      </x:c>
      <x:c r="F22" s="38"/>
      <x:c r="G22" s="38"/>
      <x:c r="H22" s="38" t="str">
        <x:v>6/12/24小时滚动更新</x:v>
      </x:c>
    </x:row>
    <x:row r="23" ht="62" customHeight="1">
      <x:c r="A23" s="73" t="str">
        <x:v>升级触发</x:v>
      </x:c>
      <x:c r="B23" s="73" t="str">
        <x:v>出现第二个独立核实事件、官方航行限制或持续性航线偏离时，应上调威胁持续性和区域影响判断。</x:v>
      </x:c>
      <x:c r="C23" s="73"/>
      <x:c r="D23" s="73"/>
      <x:c r="E23" s="73" t="str">
        <x:v>独立海事报告、港口/航运商运营变化、同类事件聚类</x:v>
      </x:c>
      <x:c r="F23" s="73"/>
      <x:c r="G23" s="73"/>
      <x:c r="H23" s="73" t="str">
        <x:v>触发式升级简报</x:v>
      </x:c>
    </x:row>
    <x:row r="24" ht="62" customHeight="1">
      <x:c r="A24" s="39" t="str">
        <x:v>缓和触发</x:v>
      </x:c>
      <x:c r="B24" s="39" t="str">
        <x:v>若 24 小时内无新的独立事件报告、航行警告未扩大且商业通行总体稳定，可将“快速扩大”风险下调，但保留持续监测。</x:v>
      </x:c>
      <x:c r="C24" s="39"/>
      <x:c r="D24" s="39"/>
      <x:c r="E24" s="39" t="str">
        <x:v>零新事件必须与数据源正常、覆盖充足同时成立</x:v>
      </x:c>
      <x:c r="F24" s="39"/>
      <x:c r="G24" s="39"/>
      <x:c r="H24" s="39" t="str">
        <x:v>24小时复核后降级</x:v>
      </x:c>
    </x:row>
    <x:row r="26" ht="24" customHeight="1">
      <x:c r="A26" s="29" t="str">
        <x:v>四、影响对象、信息缺口与后续监测</x:v>
      </x:c>
      <x:c r="B26" s="29" t="str">
        <x:v>四、影响对象、信息缺口与后续监测</x:v>
      </x:c>
      <x:c r="C26" s="29" t="str">
        <x:v>四、影响对象、信息缺口与后续监测</x:v>
      </x:c>
      <x:c r="D26" s="29" t="str">
        <x:v>四、影响对象、信息缺口与后续监测</x:v>
      </x:c>
      <x:c r="E26" s="29" t="str">
        <x:v>四、影响对象、信息缺口与后续监测</x:v>
      </x:c>
      <x:c r="F26" s="29" t="str">
        <x:v>四、影响对象、信息缺口与后续监测</x:v>
      </x:c>
      <x:c r="G26" s="29" t="str">
        <x:v>四、影响对象、信息缺口与后续监测</x:v>
      </x:c>
      <x:c r="H26" s="29" t="str">
        <x:v>四、影响对象、信息缺口与后续监测</x:v>
      </x:c>
    </x:row>
    <x:row r="27">
      <x:c r="A27" s="34" t="str">
        <x:v>重点影响对象</x:v>
      </x:c>
      <x:c r="B27" s="34" t="str">
        <x:v>重点影响对象</x:v>
      </x:c>
      <x:c r="C27" s="34" t="str">
        <x:v>重点影响对象</x:v>
      </x:c>
      <x:c r="D27" s="34" t="str">
        <x:v>重点影响对象</x:v>
      </x:c>
      <x:c r="E27" s="34" t="str">
        <x:v>当前关键信息缺口</x:v>
      </x:c>
      <x:c r="F27" s="34" t="str">
        <x:v>当前关键信息缺口</x:v>
      </x:c>
      <x:c r="G27" s="34" t="str">
        <x:v>当前关键信息缺口</x:v>
      </x:c>
      <x:c r="H27" s="34" t="str">
        <x:v>当前关键信息缺口</x:v>
      </x:c>
    </x:row>
    <x:row r="28" ht="32" customHeight="1">
      <x:c r="A28" s="47" t="str">
        <x:v>• 曼德海峡及红海南部商业通行
• 沙特红海能源出口链和油轮运营
• 船员安全、海上环境与应急处置
• 保险、租船、航线规划和港口调度</x:v>
      </x:c>
      <x:c r="B28" s="47" t="str">
        <x:v>• 曼德海峡及红海南部商业通行
• 沙特红海能源出口链和油轮运营
• 船员安全、海上环境与应急处置
• 保险、租船、航线规划和港口调度</x:v>
      </x:c>
      <x:c r="C28" s="47" t="str">
        <x:v>• 曼德海峡及红海南部商业通行
• 沙特红海能源出口链和油轮运营
• 船员安全、海上环境与应急处置
• 保险、租船、航线规划和港口调度</x:v>
      </x:c>
      <x:c r="D28" s="47" t="str">
        <x:v>• 曼德海峡及红海南部商业通行
• 沙特红海能源出口链和油轮运营
• 船员安全、海上环境与应急处置
• 保险、租船、航线规划和港口调度</x:v>
      </x:c>
      <x:c r="E28" s="43" t="str">
        <x:v>• 遇袭船舶的准确数量、身份、损毁和船员状态
• 事件归因及威胁主体的持续执行能力
• 可验证的商船航线偏离基线和持续时间
• 相关港口、终端和能源出口运行状态</x:v>
      </x:c>
      <x:c r="F28" s="43" t="str">
        <x:v>• 遇袭船舶的准确数量、身份、损毁和船员状态
• 事件归因及威胁主体的持续执行能力
• 可验证的商船航线偏离基线和持续时间
• 相关港口、终端和能源出口运行状态</x:v>
      </x:c>
      <x:c r="G28" s="43" t="str">
        <x:v>• 遇袭船舶的准确数量、身份、损毁和船员状态
• 事件归因及威胁主体的持续执行能力
• 可验证的商船航线偏离基线和持续时间
• 相关港口、终端和能源出口运行状态</x:v>
      </x:c>
      <x:c r="H28" s="43" t="str">
        <x:v>• 遇袭船舶的准确数量、身份、损毁和船员状态
• 事件归因及威胁主体的持续执行能力
• 可验证的商船航线偏离基线和持续时间
• 相关港口、终端和能源出口运行状态</x:v>
      </x:c>
    </x:row>
    <x:row r="29" ht="32" customHeight="1">
      <x:c r="A29" s="47" t="str">
        <x:v>• 曼德海峡及红海南部商业通行
• 沙特红海能源出口链和油轮运营
• 船员安全、海上环境与应急处置
• 保险、租船、航线规划和港口调度</x:v>
      </x:c>
      <x:c r="B29" s="47" t="str">
        <x:v>• 曼德海峡及红海南部商业通行
• 沙特红海能源出口链和油轮运营
• 船员安全、海上环境与应急处置
• 保险、租船、航线规划和港口调度</x:v>
      </x:c>
      <x:c r="C29" s="47" t="str">
        <x:v>• 曼德海峡及红海南部商业通行
• 沙特红海能源出口链和油轮运营
• 船员安全、海上环境与应急处置
• 保险、租船、航线规划和港口调度</x:v>
      </x:c>
      <x:c r="D29" s="47" t="str">
        <x:v>• 曼德海峡及红海南部商业通行
• 沙特红海能源出口链和油轮运营
• 船员安全、海上环境与应急处置
• 保险、租船、航线规划和港口调度</x:v>
      </x:c>
      <x:c r="E29" s="43" t="str">
        <x:v>• 遇袭船舶的准确数量、身份、损毁和船员状态
• 事件归因及威胁主体的持续执行能力
• 可验证的商船航线偏离基线和持续时间
• 相关港口、终端和能源出口运行状态</x:v>
      </x:c>
      <x:c r="F29" s="43" t="str">
        <x:v>• 遇袭船舶的准确数量、身份、损毁和船员状态
• 事件归因及威胁主体的持续执行能力
• 可验证的商船航线偏离基线和持续时间
• 相关港口、终端和能源出口运行状态</x:v>
      </x:c>
      <x:c r="G29" s="43" t="str">
        <x:v>• 遇袭船舶的准确数量、身份、损毁和船员状态
• 事件归因及威胁主体的持续执行能力
• 可验证的商船航线偏离基线和持续时间
• 相关港口、终端和能源出口运行状态</x:v>
      </x:c>
      <x:c r="H29" s="43" t="str">
        <x:v>• 遇袭船舶的准确数量、身份、损毁和船员状态
• 事件归因及威胁主体的持续执行能力
• 可验证的商船航线偏离基线和持续时间
• 相关港口、终端和能源出口运行状态</x:v>
      </x:c>
    </x:row>
    <x:row r="30" ht="32" customHeight="1">
      <x:c r="A30" s="47" t="str">
        <x:v>• 曼德海峡及红海南部商业通行
• 沙特红海能源出口链和油轮运营
• 船员安全、海上环境与应急处置
• 保险、租船、航线规划和港口调度</x:v>
      </x:c>
      <x:c r="B30" s="47" t="str">
        <x:v>• 曼德海峡及红海南部商业通行
• 沙特红海能源出口链和油轮运营
• 船员安全、海上环境与应急处置
• 保险、租船、航线规划和港口调度</x:v>
      </x:c>
      <x:c r="C30" s="47" t="str">
        <x:v>• 曼德海峡及红海南部商业通行
• 沙特红海能源出口链和油轮运营
• 船员安全、海上环境与应急处置
• 保险、租船、航线规划和港口调度</x:v>
      </x:c>
      <x:c r="D30" s="47" t="str">
        <x:v>• 曼德海峡及红海南部商业通行
• 沙特红海能源出口链和油轮运营
• 船员安全、海上环境与应急处置
• 保险、租船、航线规划和港口调度</x:v>
      </x:c>
      <x:c r="E30" s="43" t="str">
        <x:v>• 遇袭船舶的准确数量、身份、损毁和船员状态
• 事件归因及威胁主体的持续执行能力
• 可验证的商船航线偏离基线和持续时间
• 相关港口、终端和能源出口运行状态</x:v>
      </x:c>
      <x:c r="F30" s="43" t="str">
        <x:v>• 遇袭船舶的准确数量、身份、损毁和船员状态
• 事件归因及威胁主体的持续执行能力
• 可验证的商船航线偏离基线和持续时间
• 相关港口、终端和能源出口运行状态</x:v>
      </x:c>
      <x:c r="G30" s="43" t="str">
        <x:v>• 遇袭船舶的准确数量、身份、损毁和船员状态
• 事件归因及威胁主体的持续执行能力
• 可验证的商船航线偏离基线和持续时间
• 相关港口、终端和能源出口运行状态</x:v>
      </x:c>
      <x:c r="H30" s="43" t="str">
        <x:v>• 遇袭船舶的准确数量、身份、损毁和船员状态
• 事件归因及威胁主体的持续执行能力
• 可验证的商船航线偏离基线和持续时间
• 相关港口、终端和能源出口运行状态</x:v>
      </x:c>
    </x:row>
    <x:row r="31" ht="32" customHeight="1">
      <x:c r="A31" s="47" t="str">
        <x:v>• 曼德海峡及红海南部商业通行
• 沙特红海能源出口链和油轮运营
• 船员安全、海上环境与应急处置
• 保险、租船、航线规划和港口调度</x:v>
      </x:c>
      <x:c r="B31" s="47" t="str">
        <x:v>• 曼德海峡及红海南部商业通行
• 沙特红海能源出口链和油轮运营
• 船员安全、海上环境与应急处置
• 保险、租船、航线规划和港口调度</x:v>
      </x:c>
      <x:c r="C31" s="47" t="str">
        <x:v>• 曼德海峡及红海南部商业通行
• 沙特红海能源出口链和油轮运营
• 船员安全、海上环境与应急处置
• 保险、租船、航线规划和港口调度</x:v>
      </x:c>
      <x:c r="D31" s="47" t="str">
        <x:v>• 曼德海峡及红海南部商业通行
• 沙特红海能源出口链和油轮运营
• 船员安全、海上环境与应急处置
• 保险、租船、航线规划和港口调度</x:v>
      </x:c>
      <x:c r="E31" s="43" t="str">
        <x:v>• 遇袭船舶的准确数量、身份、损毁和船员状态
• 事件归因及威胁主体的持续执行能力
• 可验证的商船航线偏离基线和持续时间
• 相关港口、终端和能源出口运行状态</x:v>
      </x:c>
      <x:c r="F31" s="43" t="str">
        <x:v>• 遇袭船舶的准确数量、身份、损毁和船员状态
• 事件归因及威胁主体的持续执行能力
• 可验证的商船航线偏离基线和持续时间
• 相关港口、终端和能源出口运行状态</x:v>
      </x:c>
      <x:c r="G31" s="43" t="str">
        <x:v>• 遇袭船舶的准确数量、身份、损毁和船员状态
• 事件归因及威胁主体的持续执行能力
• 可验证的商船航线偏离基线和持续时间
• 相关港口、终端和能源出口运行状态</x:v>
      </x:c>
      <x:c r="H31" s="43" t="str">
        <x:v>• 遇袭船舶的准确数量、身份、损毁和船员状态
• 事件归因及威胁主体的持续执行能力
• 可验证的商船航线偏离基线和持续时间
• 相关港口、终端和能源出口运行状态</x:v>
      </x:c>
    </x:row>
    <x:row r="33" ht="54" customHeight="1">
      <x:c r="A33" s="87" t="str">
        <x:v>后续监测任务：持续跟踪 UKMTO/JMIC 海事通报、沿岸国和港口/运营商公告、商船聚合航线变化、同类事件在 6/12/24 小时的新增与聚集、来源独立性与相互矛盾。当出现新的独立核实事件或官方航行状态变化时，立即形成新版简报。</x:v>
      </x:c>
      <x:c r="B33" s="87" t="str">
        <x:v>后续监测任务：持续跟踪 UKMTO/JMIC 海事通报、沿岸国和港口/运营商公告、商船聚合航线变化、同类事件在 6/12/24 小时的新增与聚集、来源独立性与相互矛盾。当出现新的独立核实事件或官方航行状态变化时，立即形成新版简报。</x:v>
      </x:c>
      <x:c r="C33" s="87" t="str">
        <x:v>后续监测任务：持续跟踪 UKMTO/JMIC 海事通报、沿岸国和港口/运营商公告、商船聚合航线变化、同类事件在 6/12/24 小时的新增与聚集、来源独立性与相互矛盾。当出现新的独立核实事件或官方航行状态变化时，立即形成新版简报。</x:v>
      </x:c>
      <x:c r="D33" s="87" t="str">
        <x:v>后续监测任务：持续跟踪 UKMTO/JMIC 海事通报、沿岸国和港口/运营商公告、商船聚合航线变化、同类事件在 6/12/24 小时的新增与聚集、来源独立性与相互矛盾。当出现新的独立核实事件或官方航行状态变化时，立即形成新版简报。</x:v>
      </x:c>
      <x:c r="E33" s="87" t="str">
        <x:v>后续监测任务：持续跟踪 UKMTO/JMIC 海事通报、沿岸国和港口/运营商公告、商船聚合航线变化、同类事件在 6/12/24 小时的新增与聚集、来源独立性与相互矛盾。当出现新的独立核实事件或官方航行状态变化时，立即形成新版简报。</x:v>
      </x:c>
      <x:c r="F33" s="87" t="str">
        <x:v>后续监测任务：持续跟踪 UKMTO/JMIC 海事通报、沿岸国和港口/运营商公告、商船聚合航线变化、同类事件在 6/12/24 小时的新增与聚集、来源独立性与相互矛盾。当出现新的独立核实事件或官方航行状态变化时，立即形成新版简报。</x:v>
      </x:c>
      <x:c r="G33" s="87" t="str">
        <x:v>后续监测任务：持续跟踪 UKMTO/JMIC 海事通报、沿岸国和港口/运营商公告、商船聚合航线变化、同类事件在 6/12/24 小时的新增与聚集、来源独立性与相互矛盾。当出现新的独立核实事件或官方航行状态变化时，立即形成新版简报。</x:v>
      </x:c>
      <x:c r="H33" s="87" t="str">
        <x:v>后续监测任务：持续跟踪 UKMTO/JMIC 海事通报、沿岸国和港口/运营商公告、商船聚合航线变化、同类事件在 6/12/24 小时的新增与聚集、来源独立性与相互矛盾。当出现新的独立核实事件或官方航行状态变化时，立即形成新版简报。</x:v>
      </x:c>
    </x:row>
    <x:row r="35" ht="36" customHeight="1">
      <x:c r="A35" s="91" t="str">
        <x:v>责任边界：本样例聚焦航行安全、能源/物流通道风险和民用基础设施保护；不提供实时打击目标、精确军事部署坐标、武器发射点推断或进攻性行动建议。</x:v>
      </x:c>
      <x:c r="B35" s="91" t="str">
        <x:v>责任边界：本样例聚焦航行安全、能源/物流通道风险和民用基础设施保护；不提供实时打击目标、精确军事部署坐标、武器发射点推断或进攻性行动建议。</x:v>
      </x:c>
      <x:c r="C35" s="91" t="str">
        <x:v>责任边界：本样例聚焦航行安全、能源/物流通道风险和民用基础设施保护；不提供实时打击目标、精确军事部署坐标、武器发射点推断或进攻性行动建议。</x:v>
      </x:c>
      <x:c r="D35" s="91" t="str">
        <x:v>责任边界：本样例聚焦航行安全、能源/物流通道风险和民用基础设施保护；不提供实时打击目标、精确军事部署坐标、武器发射点推断或进攻性行动建议。</x:v>
      </x:c>
      <x:c r="E35" s="91" t="str">
        <x:v>责任边界：本样例聚焦航行安全、能源/物流通道风险和民用基础设施保护；不提供实时打击目标、精确军事部署坐标、武器发射点推断或进攻性行动建议。</x:v>
      </x:c>
      <x:c r="F35" s="91" t="str">
        <x:v>责任边界：本样例聚焦航行安全、能源/物流通道风险和民用基础设施保护；不提供实时打击目标、精确军事部署坐标、武器发射点推断或进攻性行动建议。</x:v>
      </x:c>
      <x:c r="G35" s="91" t="str">
        <x:v>责任边界：本样例聚焦航行安全、能源/物流通道风险和民用基础设施保护；不提供实时打击目标、精确军事部署坐标、武器发射点推断或进攻性行动建议。</x:v>
      </x:c>
      <x:c r="H35" s="91" t="str">
        <x:v>责任边界：本样例聚焦航行安全、能源/物流通道风险和民用基础设施保护；不提供实时打击目标、精确军事部署坐标、武器发射点推断或进攻性行动建议。</x:v>
      </x:c>
    </x:row>
  </x:sheetData>
  <x:mergeCells>
    <x:mergeCell ref="A1:H1"/>
    <x:mergeCell ref="A2:H2"/>
    <x:mergeCell ref="A4:B4"/>
    <x:mergeCell ref="C4:D4"/>
    <x:mergeCell ref="E4:F4"/>
    <x:mergeCell ref="G4:H4"/>
    <x:mergeCell ref="A5:B5"/>
    <x:mergeCell ref="C5:D5"/>
    <x:mergeCell ref="E5:F5"/>
    <x:mergeCell ref="G5:H5"/>
    <x:mergeCell ref="A7:H7"/>
    <x:mergeCell ref="A8:H11"/>
    <x:mergeCell ref="A13:H13"/>
    <x:mergeCell ref="C14:E14"/>
    <x:mergeCell ref="C15:E15"/>
    <x:mergeCell ref="C16:E16"/>
    <x:mergeCell ref="C17:E17"/>
    <x:mergeCell ref="C18:E18"/>
    <x:mergeCell ref="A20:H20"/>
    <x:mergeCell ref="B21:D21"/>
    <x:mergeCell ref="E21:G21"/>
    <x:mergeCell ref="B22:D22"/>
    <x:mergeCell ref="E22:G22"/>
    <x:mergeCell ref="B23:D23"/>
    <x:mergeCell ref="E23:G23"/>
    <x:mergeCell ref="B24:D24"/>
    <x:mergeCell ref="E24:G24"/>
    <x:mergeCell ref="A26:H26"/>
    <x:mergeCell ref="A27:D27"/>
    <x:mergeCell ref="E27:H27"/>
    <x:mergeCell ref="A28:D31"/>
    <x:mergeCell ref="E28:H31"/>
    <x:mergeCell ref="A33:H33"/>
    <x:mergeCell ref="A35:H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36" hidden="0" customWidth="1"/>
    <x:col min="5" max="5" width="22" hidden="0" customWidth="1"/>
    <x:col min="6" max="6" width="24" hidden="0" customWidth="1"/>
    <x:col min="7" max="7" width="12" hidden="0" customWidth="1"/>
    <x:col min="8" max="8" width="23" hidden="0" customWidth="1"/>
    <x:col min="9" max="9" width="34" hidden="0" customWidth="1"/>
    <x:col min="10" max="10" width="48" hidden="0" customWidth="1"/>
  </x:cols>
  <x:sheetData>
    <x:row r="1" ht="34" customHeight="1">
      <x:c r="A1" s="5" t="str">
        <x:v>证据核验表（公开来源样例）</x:v>
      </x:c>
      <x:c r="B1" s="5" t="str">
        <x:v>证据核验表（公开来源样例）</x:v>
      </x:c>
      <x:c r="C1" s="5" t="str">
        <x:v>证据核验表（公开来源样例）</x:v>
      </x:c>
      <x:c r="D1" s="5" t="str">
        <x:v>证据核验表（公开来源样例）</x:v>
      </x:c>
      <x:c r="E1" s="5" t="str">
        <x:v>证据核验表（公开来源样例）</x:v>
      </x:c>
      <x:c r="F1" s="5" t="str">
        <x:v>证据核验表（公开来源样例）</x:v>
      </x:c>
      <x:c r="G1" s="5" t="str">
        <x:v>证据核验表（公开来源样例）</x:v>
      </x:c>
      <x:c r="H1" s="5" t="str">
        <x:v>证据核验表（公开来源样例）</x:v>
      </x:c>
      <x:c r="I1" s="5" t="str">
        <x:v>证据核验表（公开来源样例）</x:v>
      </x:c>
      <x:c r="J1" s="5" t="str">
        <x:v>证据核验表（公开来源样例）</x:v>
      </x:c>
    </x:row>
    <x:row r="2" ht="28" customHeight="1">
      <x:c r="A2" s="10" t="str">
        <x:v>核验原则：“事件发生”、“当事方宣称”和“分析判断”分开；同稿转载不计为多个独立来源。链接仅用于本次内容样例的公开依据回看。</x:v>
      </x:c>
      <x:c r="B2" s="10" t="str">
        <x:v>核验原则：“事件发生”、“当事方宣称”和“分析判断”分开；同稿转载不计为多个独立来源。链接仅用于本次内容样例的公开依据回看。</x:v>
      </x:c>
      <x:c r="C2" s="10" t="str">
        <x:v>核验原则：“事件发生”、“当事方宣称”和“分析判断”分开；同稿转载不计为多个独立来源。链接仅用于本次内容样例的公开依据回看。</x:v>
      </x:c>
      <x:c r="D2" s="10" t="str">
        <x:v>核验原则：“事件发生”、“当事方宣称”和“分析判断”分开；同稿转载不计为多个独立来源。链接仅用于本次内容样例的公开依据回看。</x:v>
      </x:c>
      <x:c r="E2" s="10" t="str">
        <x:v>核验原则：“事件发生”、“当事方宣称”和“分析判断”分开；同稿转载不计为多个独立来源。链接仅用于本次内容样例的公开依据回看。</x:v>
      </x:c>
      <x:c r="F2" s="10" t="str">
        <x:v>核验原则：“事件发生”、“当事方宣称”和“分析判断”分开；同稿转载不计为多个独立来源。链接仅用于本次内容样例的公开依据回看。</x:v>
      </x:c>
      <x:c r="G2" s="10" t="str">
        <x:v>核验原则：“事件发生”、“当事方宣称”和“分析判断”分开；同稿转载不计为多个独立来源。链接仅用于本次内容样例的公开依据回看。</x:v>
      </x:c>
      <x:c r="H2" s="10" t="str">
        <x:v>核验原则：“事件发生”、“当事方宣称”和“分析判断”分开；同稿转载不计为多个独立来源。链接仅用于本次内容样例的公开依据回看。</x:v>
      </x:c>
      <x:c r="I2" s="10" t="str">
        <x:v>核验原则：“事件发生”、“当事方宣称”和“分析判断”分开；同稿转载不计为多个独立来源。链接仅用于本次内容样例的公开依据回看。</x:v>
      </x:c>
      <x:c r="J2" s="10" t="str">
        <x:v>核验原则：“事件发生”、“当事方宣称”和“分析判断”分开；同稿转载不计为多个独立来源。链接仅用于本次内容样例的公开依据回看。</x:v>
      </x:c>
    </x:row>
    <x:row r="4" ht="32" customHeight="1">
      <x:c r="A4" s="95" t="str">
        <x:v>状态说明：“已确认”仅表示该条公开报道/表态存在；对船数、损毁、归因和持续能力的强结论，仍需独立证据。</x:v>
      </x:c>
      <x:c r="B4" s="95" t="str">
        <x:v>状态说明：“已确认”仅表示该条公开报道/表态存在；对船数、损毁、归因和持续能力的强结论，仍需独立证据。</x:v>
      </x:c>
      <x:c r="C4" s="95" t="str">
        <x:v>状态说明：“已确认”仅表示该条公开报道/表态存在；对船数、损毁、归因和持续能力的强结论，仍需独立证据。</x:v>
      </x:c>
      <x:c r="D4" s="95" t="str">
        <x:v>状态说明：“已确认”仅表示该条公开报道/表态存在；对船数、损毁、归因和持续能力的强结论，仍需独立证据。</x:v>
      </x:c>
      <x:c r="E4" s="95" t="str">
        <x:v>状态说明：“已确认”仅表示该条公开报道/表态存在；对船数、损毁、归因和持续能力的强结论，仍需独立证据。</x:v>
      </x:c>
      <x:c r="F4" s="95" t="str">
        <x:v>状态说明：“已确认”仅表示该条公开报道/表态存在；对船数、损毁、归因和持续能力的强结论，仍需独立证据。</x:v>
      </x:c>
      <x:c r="G4" s="95" t="str">
        <x:v>状态说明：“已确认”仅表示该条公开报道/表态存在；对船数、损毁、归因和持续能力的强结论，仍需独立证据。</x:v>
      </x:c>
      <x:c r="H4" s="95" t="str">
        <x:v>状态说明：“已确认”仅表示该条公开报道/表态存在；对船数、损毁、归因和持续能力的强结论，仍需独立证据。</x:v>
      </x:c>
      <x:c r="I4" s="95" t="str">
        <x:v>状态说明：“已确认”仅表示该条公开报道/表态存在；对船数、损毁、归因和持续能力的强结论，仍需独立证据。</x:v>
      </x:c>
      <x:c r="J4" s="95" t="str">
        <x:v>状态说明：“已确认”仅表示该条公开报道/表态存在；对船数、损毁、归因和持续能力的强结论，仍需独立证据。</x:v>
      </x:c>
    </x:row>
    <x:row r="6">
      <x:c r="A6" s="34" t="str">
        <x:v>证据编号</x:v>
      </x:c>
      <x:c r="B6" s="34" t="str">
        <x:v>时间</x:v>
      </x:c>
      <x:c r="C6" s="34" t="str">
        <x:v>类型</x:v>
      </x:c>
      <x:c r="D6" s="34" t="str">
        <x:v>可验证内容</x:v>
      </x:c>
      <x:c r="E6" s="34" t="str">
        <x:v>来源</x:v>
      </x:c>
      <x:c r="F6" s="34" t="str">
        <x:v>独立来源组</x:v>
      </x:c>
      <x:c r="G6" s="34" t="str">
        <x:v>作用</x:v>
      </x:c>
      <x:c r="H6" s="34" t="str">
        <x:v>核验状态</x:v>
      </x:c>
      <x:c r="I6" s="34" t="str">
        <x:v>局限/待核实项</x:v>
      </x:c>
      <x:c r="J6" s="34" t="str">
        <x:v>URL</x:v>
      </x:c>
    </x:row>
    <x:row r="7" ht="76" customHeight="1">
      <x:c r="A7" s="38" t="str">
        <x:v>E-01</x:v>
      </x:c>
      <x:c r="B7" s="38" t="str">
        <x:v>2026-07-20</x:v>
      </x:c>
      <x:c r="C7" s="38" t="str">
        <x:v>当事方主张</x:v>
      </x:c>
      <x:c r="D7" s="38" t="str">
        <x:v>胡塞方面公开宣布针对与沙特关联航运的海上限制/封锁威胁。</x:v>
      </x:c>
      <x:c r="E7" s="38" t="str">
        <x:v>AP</x:v>
      </x:c>
      <x:c r="F7" s="38" t="str">
        <x:v>国际媒体/当事方表态</x:v>
      </x:c>
      <x:c r="G7" s="39" t="str">
        <x:v>支持</x:v>
      </x:c>
      <x:c r="H7" s="38" t="str">
        <x:v>表态存在已确认</x:v>
      </x:c>
      <x:c r="I7" s="38" t="str">
        <x:v>实际执行范围、能力和时间边界不清</x:v>
      </x:c>
      <x:c r="J7" s="38" t="str">
        <x:v>https://apnews.com/article/fd7c4a3911f7eee18251483fc8af768c</x:v>
      </x:c>
    </x:row>
    <x:row r="8" ht="76" customHeight="1">
      <x:c r="A8" s="68" t="str">
        <x:v>E-02</x:v>
      </x:c>
      <x:c r="B8" s="68" t="str">
        <x:v>2026-07-20</x:v>
      </x:c>
      <x:c r="C8" s="68" t="str">
        <x:v>官方回应</x:v>
      </x:c>
      <x:c r="D8" s="68" t="str">
        <x:v>沙特方面否定封锁主张并表示将保护曼德海峡商船。</x:v>
      </x:c>
      <x:c r="E8" s="68" t="str">
        <x:v>Saudi Press Agency</x:v>
      </x:c>
      <x:c r="F8" s="68" t="str">
        <x:v>沙特官方</x:v>
      </x:c>
      <x:c r="G8" s="39" t="str">
        <x:v>支持</x:v>
      </x:c>
      <x:c r="H8" s="68" t="str">
        <x:v>官方立场已确认</x:v>
      </x:c>
      <x:c r="I8" s="68" t="str">
        <x:v>属相关方官方立场，不能单独证明通行风险高低</x:v>
      </x:c>
      <x:c r="J8" s="68" t="str">
        <x:v>https://www.spa.gov.sa/en/N2638100</x:v>
      </x:c>
    </x:row>
    <x:row r="9" ht="76" customHeight="1">
      <x:c r="A9" s="38" t="str">
        <x:v>E-03</x:v>
      </x:c>
      <x:c r="B9" s="38" t="str">
        <x:v>2026-07-22/23</x:v>
      </x:c>
      <x:c r="C9" s="38" t="str">
        <x:v>海事事件</x:v>
      </x:c>
      <x:c r="D9" s="38" t="str">
        <x:v>AP 援引 UKMTO 称，一艘油轮在 Al Shuqaiq 西南约 130 公里处遭未知投射物击中。</x:v>
      </x:c>
      <x:c r="E9" s="38" t="str">
        <x:v>AP / UKMTO</x:v>
      </x:c>
      <x:c r="F9" s="38" t="str">
        <x:v>海事通报/国际媒体</x:v>
      </x:c>
      <x:c r="G9" s="39" t="str">
        <x:v>支持</x:v>
      </x:c>
      <x:c r="H9" s="38" t="str">
        <x:v>事件部分核实</x:v>
      </x:c>
      <x:c r="I9" s="38" t="str">
        <x:v>投射物类型、归因、损毁程度和船员状态需继续核实</x:v>
      </x:c>
      <x:c r="J9" s="38" t="str">
        <x:v>https://apnews.com/article/60d46bf8c83c43a8f2268b7b87627c55</x:v>
      </x:c>
    </x:row>
    <x:row r="10" ht="76" customHeight="1">
      <x:c r="A10" s="68" t="str">
        <x:v>E-04</x:v>
      </x:c>
      <x:c r="B10" s="68" t="str">
        <x:v>2026-07-23</x:v>
      </x:c>
      <x:c r="C10" s="68" t="str">
        <x:v>当事方主张</x:v>
      </x:c>
      <x:c r="D10" s="68" t="str">
        <x:v>胡塞方面宣称针对两艘沙特油轮发动攻击。</x:v>
      </x:c>
      <x:c r="E10" s="68" t="str">
        <x:v>AP</x:v>
      </x:c>
      <x:c r="F10" s="68" t="str">
        <x:v>当事方表态/国际媒体</x:v>
      </x:c>
      <x:c r="G10" s="39" t="str">
        <x:v>支持</x:v>
      </x:c>
      <x:c r="H10" s="68" t="str">
        <x:v>主张存在已确认</x:v>
      </x:c>
      <x:c r="I10" s="68" t="str">
        <x:v>船数、损毁和攻击归因未获得足够独立证据</x:v>
      </x:c>
      <x:c r="J10" s="68" t="str">
        <x:v>https://apnews.com/article/6ee98d611669dc84953d2f2e15958bf9</x:v>
      </x:c>
    </x:row>
    <x:row r="11" ht="76" customHeight="1">
      <x:c r="A11" s="38" t="str">
        <x:v>E-05</x:v>
      </x:c>
      <x:c r="B11" s="38" t="str">
        <x:v>2026-07-21</x:v>
      </x:c>
      <x:c r="C11" s="38" t="str">
        <x:v>官方背景</x:v>
      </x:c>
      <x:c r="D11" s="38" t="str">
        <x:v>沙特方面强调阿拉伯湾和红海海上安全及航行自由。</x:v>
      </x:c>
      <x:c r="E11" s="38" t="str">
        <x:v>Saudi Press Agency</x:v>
      </x:c>
      <x:c r="F11" s="38" t="str">
        <x:v>沙特官方</x:v>
      </x:c>
      <x:c r="G11" s="47" t="str">
        <x:v>背景</x:v>
      </x:c>
      <x:c r="H11" s="38" t="str">
        <x:v>官方表态已确认</x:v>
      </x:c>
      <x:c r="I11" s="38" t="str">
        <x:v>属政策立场和区域背景，不是事件独立证据</x:v>
      </x:c>
      <x:c r="J11" s="38" t="str">
        <x:v>https://www.spa.gov.sa/en/N2638870</x:v>
      </x:c>
    </x:row>
    <x:row r="12" ht="76" customHeight="1">
      <x:c r="A12" s="68" t="str">
        <x:v>E-06</x:v>
      </x:c>
      <x:c r="B12" s="68" t="str">
        <x:v>2026-06-09</x:v>
      </x:c>
      <x:c r="C12" s="68" t="str">
        <x:v>权威背景</x:v>
      </x:c>
      <x:c r="D12" s="68" t="str">
        <x:v>IMO 提醒中东海域波动对船员、商业航运和航次风险评估的影响。</x:v>
      </x:c>
      <x:c r="E12" s="68" t="str">
        <x:v>IMO</x:v>
      </x:c>
      <x:c r="F12" s="68" t="str">
        <x:v>国际组织</x:v>
      </x:c>
      <x:c r="G12" s="47" t="str">
        <x:v>背景</x:v>
      </x:c>
      <x:c r="H12" s="68" t="str">
        <x:v>权威背景已确认</x:v>
      </x:c>
      <x:c r="I12" s="68" t="str">
        <x:v>聚焦区域航行安全，不直接证明本次具体事件</x:v>
      </x:c>
      <x:c r="J12" s="68" t="str">
        <x:v>https://www.imo.org/en/mediacentre/pressbriefings/pages/statement-no-safe-passage-strait-of-hormuz.aspx</x:v>
      </x:c>
    </x:row>
    <x:row r="14" ht="42" customHeight="1">
      <x:c r="A14" s="99" t="str">
        <x:v>当前尚未形成可靠反驳证据项。如果后续出现船方、港口、海事机构或其他独立来源与当事方主张明显不一致，应新增“反驳”项并触发简报版本更新。</x:v>
      </x:c>
      <x:c r="B14" s="99" t="str">
        <x:v>当前尚未形成可靠反驳证据项。如果后续出现船方、港口、海事机构或其他独立来源与当事方主张明显不一致，应新增“反驳”项并触发简报版本更新。</x:v>
      </x:c>
      <x:c r="C14" s="99" t="str">
        <x:v>当前尚未形成可靠反驳证据项。如果后续出现船方、港口、海事机构或其他独立来源与当事方主张明显不一致，应新增“反驳”项并触发简报版本更新。</x:v>
      </x:c>
      <x:c r="D14" s="99" t="str">
        <x:v>当前尚未形成可靠反驳证据项。如果后续出现船方、港口、海事机构或其他独立来源与当事方主张明显不一致，应新增“反驳”项并触发简报版本更新。</x:v>
      </x:c>
      <x:c r="E14" s="99" t="str">
        <x:v>当前尚未形成可靠反驳证据项。如果后续出现船方、港口、海事机构或其他独立来源与当事方主张明显不一致，应新增“反驳”项并触发简报版本更新。</x:v>
      </x:c>
      <x:c r="F14" s="99" t="str">
        <x:v>当前尚未形成可靠反驳证据项。如果后续出现船方、港口、海事机构或其他独立来源与当事方主张明显不一致，应新增“反驳”项并触发简报版本更新。</x:v>
      </x:c>
      <x:c r="G14" s="99" t="str">
        <x:v>当前尚未形成可靠反驳证据项。如果后续出现船方、港口、海事机构或其他独立来源与当事方主张明显不一致，应新增“反驳”项并触发简报版本更新。</x:v>
      </x:c>
      <x:c r="H14" s="99" t="str">
        <x:v>当前尚未形成可靠反驳证据项。如果后续出现船方、港口、海事机构或其他独立来源与当事方主张明显不一致，应新增“反驳”项并触发简报版本更新。</x:v>
      </x:c>
      <x:c r="I14" s="99" t="str">
        <x:v>当前尚未形成可靠反驳证据项。如果后续出现船方、港口、海事机构或其他独立来源与当事方主张明显不一致，应新增“反驳”项并触发简报版本更新。</x:v>
      </x:c>
      <x:c r="J14" s="99" t="str">
        <x:v>当前尚未形成可靠反驳证据项。如果后续出现船方、港口、海事机构或其他独立来源与当事方主张明显不一致，应新增“反驳”项并触发简报版本更新。</x:v>
      </x:c>
    </x:row>
  </x:sheetData>
  <x:mergeCells>
    <x:mergeCell ref="A1:J1"/>
    <x:mergeCell ref="A2:J2"/>
    <x:mergeCell ref="A4:J4"/>
    <x:mergeCell ref="A14:J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7" hidden="0" customWidth="1"/>
    <x:col min="3" max="3" width="24" hidden="0" customWidth="1"/>
    <x:col min="4" max="4" width="27" hidden="0" customWidth="1"/>
    <x:col min="5" max="5" width="30" hidden="0" customWidth="1"/>
    <x:col min="6" max="6" width="27" hidden="0" customWidth="1"/>
  </x:cols>
  <x:sheetData>
    <x:row r="1" ht="34" customHeight="1">
      <x:c r="A1" s="5" t="str">
        <x:v>联合确认与 Demo 边界</x:v>
      </x:c>
      <x:c r="B1" s="5" t="str">
        <x:v>联合确认与 Demo 边界</x:v>
      </x:c>
      <x:c r="C1" s="5" t="str">
        <x:v>联合确认与 Demo 边界</x:v>
      </x:c>
      <x:c r="D1" s="5" t="str">
        <x:v>联合确认与 Demo 边界</x:v>
      </x:c>
      <x:c r="E1" s="5" t="str">
        <x:v>联合确认与 Demo 边界</x:v>
      </x:c>
      <x:c r="F1" s="5" t="str">
        <x:v>联合确认与 Demo 边界</x:v>
      </x:c>
    </x:row>
    <x:row r="2" ht="28" customHeight="1">
      <x:c r="A2" s="10" t="str">
        <x:v>客户材料用于提升场景匹配度，不作为项目组停等的前置条件；暂未提供时，仍按已约定中东公开情报场景继续推进。</x:v>
      </x:c>
      <x:c r="B2" s="10" t="str">
        <x:v>客户材料用于提升场景匹配度，不作为项目组停等的前置条件；暂未提供时，仍按已约定中东公开情报场景继续推进。</x:v>
      </x:c>
      <x:c r="C2" s="10" t="str">
        <x:v>客户材料用于提升场景匹配度，不作为项目组停等的前置条件；暂未提供时，仍按已约定中东公开情报场景继续推进。</x:v>
      </x:c>
      <x:c r="D2" s="10" t="str">
        <x:v>客户材料用于提升场景匹配度，不作为项目组停等的前置条件；暂未提供时，仍按已约定中东公开情报场景继续推进。</x:v>
      </x:c>
      <x:c r="E2" s="10" t="str">
        <x:v>客户材料用于提升场景匹配度，不作为项目组停等的前置条件；暂未提供时，仍按已约定中东公开情报场景继续推进。</x:v>
      </x:c>
      <x:c r="F2" s="10" t="str">
        <x:v>客户材料用于提升场景匹配度，不作为项目组停等的前置条件；暂未提供时，仍按已约定中东公开情报场景继续推进。</x:v>
      </x:c>
    </x:row>
    <x:row r="4" ht="24" customHeight="1">
      <x:c r="A4" s="29" t="str">
        <x:v>建议联合确认的内容</x:v>
      </x:c>
      <x:c r="B4" s="29" t="str">
        <x:v>建议联合确认的内容</x:v>
      </x:c>
      <x:c r="C4" s="29" t="str">
        <x:v>建议联合确认的内容</x:v>
      </x:c>
      <x:c r="D4" s="29" t="str">
        <x:v>建议联合确认的内容</x:v>
      </x:c>
      <x:c r="E4" s="29" t="str">
        <x:v>建议联合确认的内容</x:v>
      </x:c>
      <x:c r="F4" s="29" t="str">
        <x:v>建议联合确认的内容</x:v>
      </x:c>
    </x:row>
    <x:row r="5">
      <x:c r="A5" s="34" t="str">
        <x:v>确认项</x:v>
      </x:c>
      <x:c r="B5" s="34" t="str">
        <x:v>建议时点</x:v>
      </x:c>
      <x:c r="C5" s="34" t="str">
        <x:v>客户可提供/确认</x:v>
      </x:c>
      <x:c r="D5" s="34" t="str">
        <x:v>项目组处理方式</x:v>
      </x:c>
      <x:c r="E5" s="34" t="str">
        <x:v>未提供时的默认方案</x:v>
      </x:c>
      <x:c r="F5" s="34" t="str">
        <x:v>形成成果</x:v>
      </x:c>
    </x:row>
    <x:row r="6" ht="74" customHeight="1">
      <x:c r="A6" s="38" t="str">
        <x:v>关注区域与三个问题</x:v>
      </x:c>
      <x:c r="B6" s="38" t="str">
        <x:v>7月24日</x:v>
      </x:c>
      <x:c r="C6" s="38" t="str">
        <x:v>优先 AOI、业务对象、最希望简报回答的三个问题</x:v>
      </x:c>
      <x:c r="D6" s="38" t="str">
        <x:v>转换为对象、关系、证据、判断和监测项</x:v>
      </x:c>
      <x:c r="E6" s="38" t="str">
        <x:v>红海—曼德海峡航运/能源通道风险</x:v>
      </x:c>
      <x:c r="F6" s="38" t="str">
        <x:v>情报简报问题清单</x:v>
      </x:c>
    </x:row>
    <x:row r="7" ht="74" customHeight="1">
      <x:c r="A7" s="68" t="str">
        <x:v>简报表达习惯</x:v>
      </x:c>
      <x:c r="B7" s="68" t="str">
        <x:v>7月24—30日</x:v>
      </x:c>
      <x:c r="C7" s="68" t="str">
        <x:v>标题风格、风险等级、置信度、措辞强弱、必须显示字段</x:v>
      </x:c>
      <x:c r="D7" s="68" t="str">
        <x:v>逐项吸收到简报字段、状态和页面映射</x:v>
      </x:c>
      <x:c r="E7" s="68" t="str">
        <x:v>使用“事实/主张/判断/缺口”四分法</x:v>
      </x:c>
      <x:c r="F7" s="68" t="str">
        <x:v>简报内容规格 v0.2/v0.3</x:v>
      </x:c>
    </x:row>
    <x:row r="8" ht="74" customHeight="1">
      <x:c r="A8" s="38" t="str">
        <x:v>区划、对象与数据字典</x:v>
      </x:c>
      <x:c r="B8" s="38" t="str">
        <x:v>8月3日前随时</x:v>
      </x:c>
      <x:c r="C8" s="38" t="str">
        <x:v>地图边界、重点设施/通道/船舶/航空器字殸、标签和规则</x:v>
      </x:c>
      <x:c r="D8" s="38" t="str">
        <x:v>做字段对照、缺口标注和版本化纳入</x:v>
      </x:c>
      <x:c r="E8" s="38" t="str">
        <x:v>使用公开区划、通道和关键设施目录，低精度对象按区域显示</x:v>
      </x:c>
      <x:c r="F8" s="38" t="str">
        <x:v>数据字段对照与缺口清单</x:v>
      </x:c>
    </x:row>
    <x:row r="9" ht="74" customHeight="1">
      <x:c r="A9" s="68" t="str">
        <x:v>阶段成果反馈</x:v>
      </x:c>
      <x:c r="B9" s="68" t="str">
        <x:v>7月30日、8月5/11/13日</x:v>
      </x:c>
      <x:c r="C9" s="68" t="str">
        <x:v>判断是否有用、依据是否充分、表达是否清楚、是否还缺关键信息</x:v>
      </x:c>
      <x:c r="D9" s="68" t="str">
        <x:v>形成反馈项、责任人、纳入版本和反馈前后对比</x:v>
      </x:c>
      <x:c r="E9" s="68" t="str">
        <x:v>不等待集中确认，按已冻结场景迭代</x:v>
      </x:c>
      <x:c r="F9" s="68" t="str">
        <x:v>可追踪的反馈闭环清单</x:v>
      </x:c>
    </x:row>
    <x:row r="11" ht="24" customHeight="1">
      <x:c r="A11" s="29" t="str">
        <x:v>Demo 可展示能力与责任边界</x:v>
      </x:c>
      <x:c r="B11" s="29" t="str">
        <x:v>Demo 可展示能力与责任边界</x:v>
      </x:c>
      <x:c r="C11" s="29" t="str">
        <x:v>Demo 可展示能力与责任边界</x:v>
      </x:c>
      <x:c r="D11" s="29" t="str">
        <x:v>Demo 可展示能力与责任边界</x:v>
      </x:c>
      <x:c r="E11" s="29" t="str">
        <x:v>Demo 可展示能力与责任边界</x:v>
      </x:c>
      <x:c r="F11" s="29" t="str">
        <x:v>Demo 可展示能力与责任边界</x:v>
      </x:c>
    </x:row>
    <x:row r="12">
      <x:c r="A12" s="34" t="str">
        <x:v>类别</x:v>
      </x:c>
      <x:c r="B12" s="34" t="str">
        <x:v>Demo 中的表达</x:v>
      </x:c>
      <x:c r="C12" s="34"/>
      <x:c r="D12" s="34"/>
      <x:c r="E12" s="34" t="str">
        <x:v>责任边界</x:v>
      </x:c>
      <x:c r="F12" s="34"/>
    </x:row>
    <x:row r="13" ht="62" customHeight="1">
      <x:c r="A13" s="38" t="str">
        <x:v>实时性</x:v>
      </x:c>
      <x:c r="B13" s="38" t="str">
        <x:v>显示数据截止时间、最后成功更新、覆盖缺口和 live/snapshot 状态。</x:v>
      </x:c>
      <x:c r="C13" s="38"/>
      <x:c r="D13" s="38"/>
      <x:c r="E13" s="38" t="str">
        <x:v>不把快照称为实时，不把数据中断解释为没有事件。</x:v>
      </x:c>
      <x:c r="F13" s="38"/>
    </x:row>
    <x:row r="14" ht="62" customHeight="1">
      <x:c r="A14" s="68" t="str">
        <x:v>研判强度</x:v>
      </x:c>
      <x:c r="B14" s="68" t="str">
        <x:v>使用事实、主张、证据和判断分层；说明置信度理由、信息缺口和会改变判断的触发条件。</x:v>
      </x:c>
      <x:c r="C14" s="68"/>
      <x:c r="D14" s="68"/>
      <x:c r="E14" s="68" t="str">
        <x:v>不承诺未经校准的 90%—99% 概率。</x:v>
      </x:c>
      <x:c r="F14" s="68"/>
    </x:row>
    <x:row r="15" ht="62" customHeight="1">
      <x:c r="A15" s="38" t="str">
        <x:v>数据范围</x:v>
      </x:c>
      <x:c r="B15" s="38" t="str">
        <x:v>两类稳定首批公开来源走通治理与追溯；其他来源作为背景或可选增强。</x:v>
      </x:c>
      <x:c r="C15" s="38"/>
      <x:c r="D15" s="38"/>
      <x:c r="E15" s="38" t="str">
        <x:v>不将全量 AIS、RF、实时卫星影像或客户私有数据作为本轮硬依赖。</x:v>
      </x:c>
      <x:c r="F15" s="38"/>
    </x:row>
    <x:row r="16" ht="62" customHeight="1">
      <x:c r="A16" s="68" t="str">
        <x:v>安全合规</x:v>
      </x:c>
      <x:c r="B16" s="68" t="str">
        <x:v>聚焦航行安全、空域风险、能源/物流通道和民用基础设施保护。</x:v>
      </x:c>
      <x:c r="C16" s="68"/>
      <x:c r="D16" s="68"/>
      <x:c r="E16" s="68" t="str">
        <x:v>不提供打击目标、精确军事坐标、发射点推断或进攻性行动建议。</x:v>
      </x:c>
      <x:c r="F16" s="68"/>
    </x:row>
  </x:sheetData>
  <x:mergeCells>
    <x:mergeCell ref="A1:F1"/>
    <x:mergeCell ref="A2:F2"/>
    <x:mergeCell ref="A4:F4"/>
    <x:mergeCell ref="A11:F11"/>
    <x:mergeCell ref="B12:D12"/>
    <x:mergeCell ref="E12:F12"/>
    <x:mergeCell ref="B13:D13"/>
    <x:mergeCell ref="E13:F13"/>
    <x:mergeCell ref="B14:D14"/>
    <x:mergeCell ref="E14:F14"/>
    <x:mergeCell ref="B15:D15"/>
    <x:mergeCell ref="E15:F15"/>
    <x:mergeCell ref="B16:D16"/>
    <x:mergeCell ref="E16:F16"/>
  </x:mergeCells>
  <x:pageMargins left="0.7" right="0.7" top="0.75" bottom="0.75" header="0.3" footer="0.3"/>
</x:worksheet>
</file>